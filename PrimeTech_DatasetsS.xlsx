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E965980-50E8-4E30-AA0E-A30675EC863F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Sheet2" sheetId="5" r:id="rId1"/>
    <sheet name="Sheet3" sheetId="6" r:id="rId2"/>
    <sheet name="Sheet4" sheetId="7" r:id="rId3"/>
    <sheet name="Sheet5" sheetId="8" r:id="rId4"/>
    <sheet name="Sales_Data" sheetId="1" r:id="rId5"/>
    <sheet name="Product_List" sheetId="2" r:id="rId6"/>
    <sheet name="Employee_Targets" sheetId="3" r:id="rId7"/>
  </sheets>
  <definedNames>
    <definedName name="_xlchart.v1.0" hidden="1">Sheet3!$A$4:$A$104</definedName>
    <definedName name="_xlchart.v1.1" hidden="1">Sheet3!$B$3</definedName>
    <definedName name="_xlchart.v1.2" hidden="1">Sheet3!$B$4:$B$104</definedName>
    <definedName name="_xlchart.v1.3" hidden="1">Sheet3!$A$4:$A$104</definedName>
    <definedName name="_xlchart.v1.4" hidden="1">Sheet3!$B$3</definedName>
    <definedName name="_xlchart.v1.5" hidden="1">Sheet3!$B$4:$B$104</definedName>
  </definedNames>
  <calcPr calcId="191029"/>
  <pivotCaches>
    <pivotCache cacheId="1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3" i="1"/>
  <c r="M3" i="1" s="1"/>
  <c r="N3" i="1" s="1"/>
  <c r="I4" i="1"/>
  <c r="M4" i="1" s="1"/>
  <c r="N4" i="1" s="1"/>
  <c r="I5" i="1"/>
  <c r="M5" i="1" s="1"/>
  <c r="N5" i="1" s="1"/>
  <c r="I6" i="1"/>
  <c r="M6" i="1" s="1"/>
  <c r="N6" i="1" s="1"/>
  <c r="I7" i="1"/>
  <c r="M7" i="1" s="1"/>
  <c r="N7" i="1" s="1"/>
  <c r="I8" i="1"/>
  <c r="M8" i="1" s="1"/>
  <c r="N8" i="1" s="1"/>
  <c r="I9" i="1"/>
  <c r="M9" i="1" s="1"/>
  <c r="N9" i="1" s="1"/>
  <c r="I10" i="1"/>
  <c r="M10" i="1" s="1"/>
  <c r="N10" i="1" s="1"/>
  <c r="I11" i="1"/>
  <c r="M11" i="1" s="1"/>
  <c r="N11" i="1" s="1"/>
  <c r="I12" i="1"/>
  <c r="M12" i="1" s="1"/>
  <c r="N12" i="1" s="1"/>
  <c r="I13" i="1"/>
  <c r="M13" i="1" s="1"/>
  <c r="N13" i="1" s="1"/>
  <c r="I14" i="1"/>
  <c r="M14" i="1" s="1"/>
  <c r="N14" i="1" s="1"/>
  <c r="I15" i="1"/>
  <c r="M15" i="1" s="1"/>
  <c r="N15" i="1" s="1"/>
  <c r="I16" i="1"/>
  <c r="M16" i="1" s="1"/>
  <c r="N16" i="1" s="1"/>
  <c r="I17" i="1"/>
  <c r="M17" i="1" s="1"/>
  <c r="N17" i="1" s="1"/>
  <c r="I18" i="1"/>
  <c r="M18" i="1" s="1"/>
  <c r="N18" i="1" s="1"/>
  <c r="I19" i="1"/>
  <c r="M19" i="1" s="1"/>
  <c r="N19" i="1" s="1"/>
  <c r="I20" i="1"/>
  <c r="M20" i="1" s="1"/>
  <c r="N20" i="1" s="1"/>
  <c r="I21" i="1"/>
  <c r="M21" i="1" s="1"/>
  <c r="N21" i="1" s="1"/>
  <c r="I22" i="1"/>
  <c r="M22" i="1" s="1"/>
  <c r="N22" i="1" s="1"/>
  <c r="I23" i="1"/>
  <c r="M23" i="1" s="1"/>
  <c r="N23" i="1" s="1"/>
  <c r="I24" i="1"/>
  <c r="M24" i="1" s="1"/>
  <c r="N24" i="1" s="1"/>
  <c r="I25" i="1"/>
  <c r="M25" i="1" s="1"/>
  <c r="N25" i="1" s="1"/>
  <c r="I26" i="1"/>
  <c r="M26" i="1" s="1"/>
  <c r="N26" i="1" s="1"/>
  <c r="I27" i="1"/>
  <c r="M27" i="1" s="1"/>
  <c r="N27" i="1" s="1"/>
  <c r="I28" i="1"/>
  <c r="M28" i="1" s="1"/>
  <c r="N28" i="1" s="1"/>
  <c r="I29" i="1"/>
  <c r="M29" i="1" s="1"/>
  <c r="N29" i="1" s="1"/>
  <c r="I30" i="1"/>
  <c r="M30" i="1" s="1"/>
  <c r="N30" i="1" s="1"/>
  <c r="I31" i="1"/>
  <c r="M31" i="1" s="1"/>
  <c r="N31" i="1" s="1"/>
  <c r="I32" i="1"/>
  <c r="M32" i="1" s="1"/>
  <c r="N32" i="1" s="1"/>
  <c r="I33" i="1"/>
  <c r="M33" i="1" s="1"/>
  <c r="N33" i="1" s="1"/>
  <c r="I34" i="1"/>
  <c r="M34" i="1" s="1"/>
  <c r="N34" i="1" s="1"/>
  <c r="I35" i="1"/>
  <c r="M35" i="1" s="1"/>
  <c r="N35" i="1" s="1"/>
  <c r="I36" i="1"/>
  <c r="M36" i="1" s="1"/>
  <c r="N36" i="1" s="1"/>
  <c r="I37" i="1"/>
  <c r="M37" i="1" s="1"/>
  <c r="N37" i="1" s="1"/>
  <c r="I38" i="1"/>
  <c r="M38" i="1" s="1"/>
  <c r="N38" i="1" s="1"/>
  <c r="I39" i="1"/>
  <c r="M39" i="1" s="1"/>
  <c r="N39" i="1" s="1"/>
  <c r="I40" i="1"/>
  <c r="M40" i="1" s="1"/>
  <c r="N40" i="1" s="1"/>
  <c r="I41" i="1"/>
  <c r="M41" i="1" s="1"/>
  <c r="N41" i="1" s="1"/>
  <c r="I42" i="1"/>
  <c r="M42" i="1" s="1"/>
  <c r="N42" i="1" s="1"/>
  <c r="I43" i="1"/>
  <c r="M43" i="1" s="1"/>
  <c r="N43" i="1" s="1"/>
  <c r="I44" i="1"/>
  <c r="M44" i="1" s="1"/>
  <c r="N44" i="1" s="1"/>
  <c r="I45" i="1"/>
  <c r="M45" i="1" s="1"/>
  <c r="N45" i="1" s="1"/>
  <c r="I46" i="1"/>
  <c r="M46" i="1" s="1"/>
  <c r="N46" i="1" s="1"/>
  <c r="I47" i="1"/>
  <c r="M47" i="1" s="1"/>
  <c r="N47" i="1" s="1"/>
  <c r="I48" i="1"/>
  <c r="M48" i="1" s="1"/>
  <c r="N48" i="1" s="1"/>
  <c r="I49" i="1"/>
  <c r="M49" i="1" s="1"/>
  <c r="N49" i="1" s="1"/>
  <c r="I50" i="1"/>
  <c r="M50" i="1" s="1"/>
  <c r="N50" i="1" s="1"/>
  <c r="I51" i="1"/>
  <c r="M51" i="1" s="1"/>
  <c r="N51" i="1" s="1"/>
  <c r="I52" i="1"/>
  <c r="M52" i="1" s="1"/>
  <c r="N52" i="1" s="1"/>
  <c r="I53" i="1"/>
  <c r="M53" i="1" s="1"/>
  <c r="N53" i="1" s="1"/>
  <c r="I54" i="1"/>
  <c r="M54" i="1" s="1"/>
  <c r="N54" i="1" s="1"/>
  <c r="I55" i="1"/>
  <c r="M55" i="1" s="1"/>
  <c r="N55" i="1" s="1"/>
  <c r="I56" i="1"/>
  <c r="M56" i="1" s="1"/>
  <c r="N56" i="1" s="1"/>
  <c r="I57" i="1"/>
  <c r="M57" i="1" s="1"/>
  <c r="N57" i="1" s="1"/>
  <c r="I58" i="1"/>
  <c r="M58" i="1" s="1"/>
  <c r="N58" i="1" s="1"/>
  <c r="I59" i="1"/>
  <c r="M59" i="1" s="1"/>
  <c r="N59" i="1" s="1"/>
  <c r="I60" i="1"/>
  <c r="M60" i="1" s="1"/>
  <c r="N60" i="1" s="1"/>
  <c r="I61" i="1"/>
  <c r="M61" i="1" s="1"/>
  <c r="N61" i="1" s="1"/>
  <c r="I62" i="1"/>
  <c r="M62" i="1" s="1"/>
  <c r="N62" i="1" s="1"/>
  <c r="I63" i="1"/>
  <c r="M63" i="1" s="1"/>
  <c r="N63" i="1" s="1"/>
  <c r="I64" i="1"/>
  <c r="M64" i="1" s="1"/>
  <c r="N64" i="1" s="1"/>
  <c r="I65" i="1"/>
  <c r="M65" i="1" s="1"/>
  <c r="N65" i="1" s="1"/>
  <c r="I66" i="1"/>
  <c r="M66" i="1" s="1"/>
  <c r="N66" i="1" s="1"/>
  <c r="I67" i="1"/>
  <c r="M67" i="1" s="1"/>
  <c r="N67" i="1" s="1"/>
  <c r="I68" i="1"/>
  <c r="M68" i="1" s="1"/>
  <c r="N68" i="1" s="1"/>
  <c r="I69" i="1"/>
  <c r="M69" i="1" s="1"/>
  <c r="N69" i="1" s="1"/>
  <c r="I70" i="1"/>
  <c r="M70" i="1" s="1"/>
  <c r="N70" i="1" s="1"/>
  <c r="I71" i="1"/>
  <c r="M71" i="1" s="1"/>
  <c r="N71" i="1" s="1"/>
  <c r="I72" i="1"/>
  <c r="M72" i="1" s="1"/>
  <c r="N72" i="1" s="1"/>
  <c r="I73" i="1"/>
  <c r="M73" i="1" s="1"/>
  <c r="N73" i="1" s="1"/>
  <c r="I74" i="1"/>
  <c r="M74" i="1" s="1"/>
  <c r="N74" i="1" s="1"/>
  <c r="I75" i="1"/>
  <c r="M75" i="1" s="1"/>
  <c r="N75" i="1" s="1"/>
  <c r="I76" i="1"/>
  <c r="M76" i="1" s="1"/>
  <c r="N76" i="1" s="1"/>
  <c r="I77" i="1"/>
  <c r="M77" i="1" s="1"/>
  <c r="N77" i="1" s="1"/>
  <c r="I78" i="1"/>
  <c r="M78" i="1" s="1"/>
  <c r="N78" i="1" s="1"/>
  <c r="I79" i="1"/>
  <c r="M79" i="1" s="1"/>
  <c r="N79" i="1" s="1"/>
  <c r="I80" i="1"/>
  <c r="M80" i="1" s="1"/>
  <c r="N80" i="1" s="1"/>
  <c r="I81" i="1"/>
  <c r="M81" i="1" s="1"/>
  <c r="N81" i="1" s="1"/>
  <c r="I82" i="1"/>
  <c r="M82" i="1" s="1"/>
  <c r="N82" i="1" s="1"/>
  <c r="I83" i="1"/>
  <c r="M83" i="1" s="1"/>
  <c r="N83" i="1" s="1"/>
  <c r="I84" i="1"/>
  <c r="M84" i="1" s="1"/>
  <c r="N84" i="1" s="1"/>
  <c r="I85" i="1"/>
  <c r="M85" i="1" s="1"/>
  <c r="N85" i="1" s="1"/>
  <c r="I86" i="1"/>
  <c r="M86" i="1" s="1"/>
  <c r="N86" i="1" s="1"/>
  <c r="I87" i="1"/>
  <c r="M87" i="1" s="1"/>
  <c r="N87" i="1" s="1"/>
  <c r="I88" i="1"/>
  <c r="M88" i="1" s="1"/>
  <c r="N88" i="1" s="1"/>
  <c r="I89" i="1"/>
  <c r="M89" i="1" s="1"/>
  <c r="N89" i="1" s="1"/>
  <c r="I90" i="1"/>
  <c r="M90" i="1" s="1"/>
  <c r="N90" i="1" s="1"/>
  <c r="I91" i="1"/>
  <c r="M91" i="1" s="1"/>
  <c r="N91" i="1" s="1"/>
  <c r="I92" i="1"/>
  <c r="M92" i="1" s="1"/>
  <c r="N92" i="1" s="1"/>
  <c r="I93" i="1"/>
  <c r="M93" i="1" s="1"/>
  <c r="N93" i="1" s="1"/>
  <c r="I94" i="1"/>
  <c r="M94" i="1" s="1"/>
  <c r="N94" i="1" s="1"/>
  <c r="I95" i="1"/>
  <c r="M95" i="1" s="1"/>
  <c r="N95" i="1" s="1"/>
  <c r="I96" i="1"/>
  <c r="M96" i="1" s="1"/>
  <c r="N96" i="1" s="1"/>
  <c r="I97" i="1"/>
  <c r="M97" i="1" s="1"/>
  <c r="N97" i="1" s="1"/>
  <c r="I98" i="1"/>
  <c r="M98" i="1" s="1"/>
  <c r="N98" i="1" s="1"/>
  <c r="I99" i="1"/>
  <c r="M99" i="1" s="1"/>
  <c r="N99" i="1" s="1"/>
  <c r="I100" i="1"/>
  <c r="M100" i="1" s="1"/>
  <c r="N100" i="1" s="1"/>
  <c r="I101" i="1"/>
  <c r="M101" i="1" s="1"/>
  <c r="N101" i="1" s="1"/>
  <c r="I2" i="1"/>
  <c r="M2" i="1" s="1"/>
  <c r="N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<sst xmlns="http://schemas.openxmlformats.org/spreadsheetml/2006/main" count="665" uniqueCount="153">
  <si>
    <t>Date</t>
  </si>
  <si>
    <t>Customer Name</t>
  </si>
  <si>
    <t>Product ID</t>
  </si>
  <si>
    <t>Quantity</t>
  </si>
  <si>
    <t>Sales Rep</t>
  </si>
  <si>
    <t>Status</t>
  </si>
  <si>
    <t>2024-01-01</t>
  </si>
  <si>
    <t>Ali Musa</t>
  </si>
  <si>
    <t>P102</t>
  </si>
  <si>
    <t>Samuel</t>
  </si>
  <si>
    <t>2024-01-02</t>
  </si>
  <si>
    <t>Amina Bello</t>
  </si>
  <si>
    <t>Joy</t>
  </si>
  <si>
    <t>2024-01-03</t>
  </si>
  <si>
    <t>P104</t>
  </si>
  <si>
    <t>Pending</t>
  </si>
  <si>
    <t>2024-01-04</t>
  </si>
  <si>
    <t xml:space="preserve">  Henry</t>
  </si>
  <si>
    <t>2024-01-05</t>
  </si>
  <si>
    <t>Peter Yusuf</t>
  </si>
  <si>
    <t>2024-01-06</t>
  </si>
  <si>
    <t>P105</t>
  </si>
  <si>
    <t>2024-01-07</t>
  </si>
  <si>
    <t>2024-01-08</t>
  </si>
  <si>
    <t>Emma</t>
  </si>
  <si>
    <t>2024-01-09</t>
  </si>
  <si>
    <t>2024-01-10</t>
  </si>
  <si>
    <t>Mary Okon</t>
  </si>
  <si>
    <t>Delivered</t>
  </si>
  <si>
    <t>2024-01-11</t>
  </si>
  <si>
    <t>P101</t>
  </si>
  <si>
    <t>2024-01-12</t>
  </si>
  <si>
    <t>2024-01-13</t>
  </si>
  <si>
    <t>2024-01-14</t>
  </si>
  <si>
    <t>Returned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</si>
  <si>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</si>
  <si>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</si>
  <si>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</si>
  <si>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</si>
  <si>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</si>
  <si>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</si>
  <si>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</si>
  <si>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 xml:space="preserve">  Grace  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</si>
  <si>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</si>
  <si>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</si>
  <si>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</si>
  <si>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</si>
  <si>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</si>
  <si>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</si>
  <si>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</si>
  <si>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</si>
  <si>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</si>
  <si>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</si>
  <si>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P103</t>
  </si>
  <si>
    <t>2024-02-01</t>
  </si>
  <si>
    <t>John Ade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</si>
  <si>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</si>
  <si>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</si>
  <si>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</si>
  <si>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</si>
  <si>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</si>
  <si>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</si>
  <si>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</si>
  <si>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</si>
  <si>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</si>
  <si>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</si>
  <si>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</si>
  <si>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</si>
  <si>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</si>
  <si>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</si>
  <si>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</si>
  <si>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</si>
  <si>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</si>
  <si>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</si>
  <si>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</si>
  <si>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</si>
  <si>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</si>
  <si>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</si>
  <si>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</si>
  <si>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</si>
  <si>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</si>
  <si>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</si>
  <si>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</si>
  <si>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</si>
  <si>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</si>
  <si>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</si>
  <si>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</si>
  <si>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</si>
  <si>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</si>
  <si>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</si>
  <si>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</si>
  <si>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</si>
  <si>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</si>
  <si>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</si>
  <si>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</si>
  <si>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</si>
  <si>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</si>
  <si>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</si>
  <si>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</si>
  <si>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</si>
  <si>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</si>
  <si>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</si>
  <si>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</si>
  <si>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</si>
  <si>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</si>
  <si>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</si>
  <si>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</si>
  <si>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</si>
  <si>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</si>
  <si>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</si>
  <si>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</si>
  <si>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</si>
  <si>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</si>
  <si>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</si>
  <si>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</si>
  <si>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</si>
  <si>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</si>
  <si>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</si>
  <si>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</si>
  <si>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</si>
  <si>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</si>
  <si>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</si>
  <si>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</si>
  <si>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</si>
  <si>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Product Name</t>
  </si>
  <si>
    <t>Price</t>
  </si>
  <si>
    <t>Category</t>
  </si>
  <si>
    <t>Laptop</t>
  </si>
  <si>
    <t>Electronics</t>
  </si>
  <si>
    <t>Keyboard</t>
  </si>
  <si>
    <t>Accessories</t>
  </si>
  <si>
    <t>Mouse</t>
  </si>
  <si>
    <t>Monitor</t>
  </si>
  <si>
    <t>Printer</t>
  </si>
  <si>
    <t>Department</t>
  </si>
  <si>
    <t>Monthly Target</t>
  </si>
  <si>
    <t>Retail</t>
  </si>
  <si>
    <t>Corporate</t>
  </si>
  <si>
    <t>Henry</t>
  </si>
  <si>
    <t>Online</t>
  </si>
  <si>
    <t>Uknown Customer</t>
  </si>
  <si>
    <t>Average</t>
  </si>
  <si>
    <t>AminaBello</t>
  </si>
  <si>
    <t>pending</t>
  </si>
  <si>
    <t>Product Price</t>
  </si>
  <si>
    <t>Product Category</t>
  </si>
  <si>
    <t>Sales Rep Department</t>
  </si>
  <si>
    <t>Total Sales</t>
  </si>
  <si>
    <t>Progress</t>
  </si>
  <si>
    <t>Row Labels</t>
  </si>
  <si>
    <t>Grand Total</t>
  </si>
  <si>
    <t>(blank)</t>
  </si>
  <si>
    <t>Count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</si>
</sst>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Sheet3!$A$4:$A$104</c:f>
              <c:strCache>
                <c:ptCount val="10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  <c:pt idx="20">
                  <c:v>2024-01-21</c:v>
                </c:pt>
                <c:pt idx="21">
                  <c:v>2024-01-22</c:v>
                </c:pt>
                <c:pt idx="22">
                  <c:v>2024-01-23</c:v>
                </c:pt>
                <c:pt idx="23">
                  <c:v>2024-01-24</c:v>
                </c:pt>
                <c:pt idx="24">
                  <c:v>2024-01-25</c:v>
                </c:pt>
                <c:pt idx="25">
                  <c:v>2024-01-26</c:v>
                </c:pt>
                <c:pt idx="26">
                  <c:v>2024-01-27</c:v>
                </c:pt>
                <c:pt idx="27">
                  <c:v>2024-01-28</c:v>
                </c:pt>
                <c:pt idx="28">
                  <c:v>2024-01-29</c:v>
                </c:pt>
                <c:pt idx="29">
                  <c:v>2024-01-30</c:v>
                </c:pt>
                <c:pt idx="30">
                  <c:v>2024-01-31</c:v>
                </c:pt>
                <c:pt idx="31">
                  <c:v>2024-02-01</c:v>
                </c:pt>
                <c:pt idx="32">
                  <c:v>2024-02-02</c:v>
                </c:pt>
                <c:pt idx="33">
                  <c:v>2024-02-03</c:v>
                </c:pt>
                <c:pt idx="34">
                  <c:v>2024-02-04</c:v>
                </c:pt>
                <c:pt idx="35">
                  <c:v>2024-02-05</c:v>
                </c:pt>
                <c:pt idx="36">
                  <c:v>2024-02-06</c:v>
                </c:pt>
                <c:pt idx="37">
                  <c:v>2024-02-07</c:v>
                </c:pt>
                <c:pt idx="38">
                  <c:v>2024-02-08</c:v>
                </c:pt>
                <c:pt idx="39">
                  <c:v>2024-02-09</c:v>
                </c:pt>
                <c:pt idx="40">
                  <c:v>2024-02-10</c:v>
                </c:pt>
                <c:pt idx="41">
                  <c:v>2024-02-11</c:v>
                </c:pt>
                <c:pt idx="42">
                  <c:v>2024-02-12</c:v>
                </c:pt>
                <c:pt idx="43">
                  <c:v>2024-02-13</c:v>
                </c:pt>
                <c:pt idx="44">
                  <c:v>2024-02-14</c:v>
                </c:pt>
                <c:pt idx="45">
                  <c:v>2024-02-15</c:v>
                </c:pt>
                <c:pt idx="46">
                  <c:v>2024-02-16</c:v>
                </c:pt>
                <c:pt idx="47">
                  <c:v>2024-02-17</c:v>
                </c:pt>
                <c:pt idx="48">
                  <c:v>2024-02-18</c:v>
                </c:pt>
                <c:pt idx="49">
                  <c:v>2024-02-19</c:v>
                </c:pt>
                <c:pt idx="50">
                  <c:v>2024-02-20</c:v>
                </c:pt>
                <c:pt idx="51">
                  <c:v>2024-02-21</c:v>
                </c:pt>
                <c:pt idx="52">
                  <c:v>2024-02-22</c:v>
                </c:pt>
                <c:pt idx="53">
                  <c:v>2024-02-23</c:v>
                </c:pt>
                <c:pt idx="54">
                  <c:v>2024-02-24</c:v>
                </c:pt>
                <c:pt idx="55">
                  <c:v>2024-02-25</c:v>
                </c:pt>
                <c:pt idx="56">
                  <c:v>2024-02-26</c:v>
                </c:pt>
                <c:pt idx="57">
                  <c:v>2024-02-27</c:v>
                </c:pt>
                <c:pt idx="58">
                  <c:v>2024-02-28</c:v>
                </c:pt>
                <c:pt idx="59">
                  <c:v>2024-02-29</c:v>
                </c:pt>
                <c:pt idx="60">
                  <c:v>2024-03-01</c:v>
                </c:pt>
                <c:pt idx="61">
                  <c:v>2024-03-02</c:v>
                </c:pt>
                <c:pt idx="62">
                  <c:v>2024-03-03</c:v>
                </c:pt>
                <c:pt idx="63">
                  <c:v>2024-03-04</c:v>
                </c:pt>
                <c:pt idx="64">
                  <c:v>2024-03-05</c:v>
                </c:pt>
                <c:pt idx="65">
                  <c:v>2024-03-06</c:v>
                </c:pt>
                <c:pt idx="66">
                  <c:v>2024-03-07</c:v>
                </c:pt>
                <c:pt idx="67">
                  <c:v>2024-03-08</c:v>
                </c:pt>
                <c:pt idx="68">
                  <c:v>2024-03-09</c:v>
                </c:pt>
                <c:pt idx="69">
                  <c:v>2024-03-10</c:v>
                </c:pt>
                <c:pt idx="70">
                  <c:v>2024-03-11</c:v>
                </c:pt>
                <c:pt idx="71">
                  <c:v>2024-03-12</c:v>
                </c:pt>
                <c:pt idx="72">
                  <c:v>2024-03-13</c:v>
                </c:pt>
                <c:pt idx="73">
                  <c:v>2024-03-14</c:v>
                </c:pt>
                <c:pt idx="74">
                  <c:v>2024-03-15</c:v>
                </c:pt>
                <c:pt idx="75">
                  <c:v>2024-03-16</c:v>
                </c:pt>
                <c:pt idx="76">
                  <c:v>2024-03-17</c:v>
                </c:pt>
                <c:pt idx="77">
                  <c:v>2024-03-18</c:v>
                </c:pt>
                <c:pt idx="78">
                  <c:v>2024-03-19</c:v>
                </c:pt>
                <c:pt idx="79">
                  <c:v>2024-03-20</c:v>
                </c:pt>
                <c:pt idx="80">
                  <c:v>2024-03-21</c:v>
                </c:pt>
                <c:pt idx="81">
                  <c:v>2024-03-22</c:v>
                </c:pt>
                <c:pt idx="82">
                  <c:v>2024-03-23</c:v>
                </c:pt>
                <c:pt idx="83">
                  <c:v>2024-03-24</c:v>
                </c:pt>
                <c:pt idx="84">
                  <c:v>2024-03-25</c:v>
                </c:pt>
                <c:pt idx="85">
                  <c:v>2024-03-26</c:v>
                </c:pt>
                <c:pt idx="86">
                  <c:v>2024-03-27</c:v>
                </c:pt>
                <c:pt idx="87">
                  <c:v>2024-03-28</c:v>
                </c:pt>
                <c:pt idx="88">
                  <c:v>2024-03-29</c:v>
                </c:pt>
                <c:pt idx="89">
                  <c:v>2024-03-30</c:v>
                </c:pt>
                <c:pt idx="90">
                  <c:v>2024-03-31</c:v>
                </c:pt>
                <c:pt idx="91">
                  <c:v>2024-04-01</c:v>
                </c:pt>
                <c:pt idx="92">
                  <c:v>2024-04-02</c:v>
                </c:pt>
                <c:pt idx="93">
                  <c:v>2024-04-03</c:v>
                </c:pt>
                <c:pt idx="94">
                  <c:v>2024-04-04</c:v>
                </c:pt>
                <c:pt idx="95">
                  <c:v>2024-04-05</c:v>
                </c:pt>
                <c:pt idx="96">
                  <c:v>2024-04-06</c:v>
                </c:pt>
                <c:pt idx="97">
                  <c:v>2024-04-07</c:v>
                </c:pt>
                <c:pt idx="98">
                  <c:v>2024-04-08</c:v>
                </c:pt>
                <c:pt idx="99">
                  <c:v>2024-04-09</c:v>
                </c:pt>
                <c:pt idx="100">
                  <c:v>Grand Total</c:v>
                </c:pt>
              </c:strCache>
            </c:strRef>
          </c:cat>
          <c:val>
            <c:numRef>
              <c:f>Sheet3!$B$4:$B$104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E-42AF-BE2F-A3D8888E7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1902745728"/>
        <c:axId val="1902739968"/>
        <c:axId val="0"/>
      </c:bar3DChart>
      <c:catAx>
        <c:axId val="190274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739968"/>
        <c:crosses val="autoZero"/>
        <c:auto val="1"/>
        <c:lblAlgn val="ctr"/>
        <c:lblOffset val="100"/>
        <c:noMultiLvlLbl val="0"/>
      </c:catAx>
      <c:valAx>
        <c:axId val="19027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74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[PrimeTech_Datasets orji fedora.xlsx]Sheet5!PivotTable6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Sheet5!$A$4:$A$7</c:f>
              <c:strCache>
                <c:ptCount val="3"/>
                <c:pt idx="0">
                  <c:v>0</c:v>
                </c:pt>
                <c:pt idx="1">
                  <c:v>Accessories</c:v>
                </c:pt>
                <c:pt idx="2">
                  <c:v>Electronics</c:v>
                </c:pt>
              </c:strCache>
            </c:strRef>
          </c:cat>
          <c:val>
            <c:numRef>
              <c:f>Sheet5!$B$4:$B$7</c:f>
              <c:numCache>
                <c:formatCode>0.00%</c:formatCode>
                <c:ptCount val="3"/>
                <c:pt idx="0">
                  <c:v>0.18</c:v>
                </c:pt>
                <c:pt idx="1">
                  <c:v>0.31</c:v>
                </c:pt>
                <c:pt idx="2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C-45F8-9A4A-E84061352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7</xdr:row>
      <xdr:rowOff>9525</xdr:rowOff>
    </xdr:from>
    <xdr:to>
      <xdr:col>12</xdr:col>
      <xdr:colOff>257174</xdr:colOff>
      <xdr:row>21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145F2-17DF-22EB-3227-F75965BD6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3</xdr:row>
      <xdr:rowOff>128587</xdr:rowOff>
    </xdr:from>
    <xdr:to>
      <xdr:col>12</xdr:col>
      <xdr:colOff>28575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7E6C8-E667-F3EF-5D75-61CE0EB18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69.497419560183" createdVersion="8" refreshedVersion="8" minRefreshableVersion="3" recordCount="100" xr:uid="{FD6D43EA-680C-40EF-B187-7E2D5CC430F7}">
  <cacheSource type="worksheet">
    <worksheetSource ref="A1:N101" sheet="Sales_Data"/>
  </cacheSource>
  <cacheFields count="14">
    <cacheField name="Date" numFmtId="0">
      <sharedItems count="100"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29"/>
        <s v="2024-03-30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</sharedItems>
    </cacheField>
    <cacheField name="Customer Name" numFmtId="0">
      <sharedItems/>
    </cacheField>
    <cacheField name="Product ID" numFmtId="0">
      <sharedItems containsBlank="1" count="6">
        <s v="P102"/>
        <s v="P104"/>
        <s v="P105"/>
        <s v="P101"/>
        <m/>
        <s v="P103"/>
      </sharedItems>
    </cacheField>
    <cacheField name="Quantity" numFmtId="0">
      <sharedItems containsMixedTypes="1" containsNumber="1" containsInteger="1" minValue="1" maxValue="5"/>
    </cacheField>
    <cacheField name="Sales Rep" numFmtId="0">
      <sharedItems/>
    </cacheField>
    <cacheField name="Status" numFmtId="0">
      <sharedItems/>
    </cacheField>
    <cacheField name="Customer Name2" numFmtId="0">
      <sharedItems/>
    </cacheField>
    <cacheField name="Sales Rep2" numFmtId="0">
      <sharedItems count="4">
        <s v="Samuel"/>
        <s v="Joy"/>
        <s v="Henry"/>
        <s v="Emma"/>
      </sharedItems>
    </cacheField>
    <cacheField name="Product Price" numFmtId="0">
      <sharedItems containsSemiMixedTypes="0" containsString="0" containsNumber="1" containsInteger="1" minValue="0" maxValue="350000"/>
    </cacheField>
    <cacheField name="Product Category" numFmtId="0">
      <sharedItems containsMixedTypes="1" containsNumber="1" containsInteger="1" minValue="0" maxValue="0" count="3">
        <s v="Accessories"/>
        <s v="Electronics"/>
        <n v="0"/>
      </sharedItems>
    </cacheField>
    <cacheField name="Sales Rep Department" numFmtId="0">
      <sharedItems/>
    </cacheField>
    <cacheField name="Monthly Target" numFmtId="0">
      <sharedItems containsMixedTypes="1" containsNumber="1" containsInteger="1" minValue="200000" maxValue="500000"/>
    </cacheField>
    <cacheField name="Total Sales" numFmtId="0">
      <sharedItems containsMixedTypes="1" containsNumber="1" containsInteger="1" minValue="0" maxValue="1750000" count="20">
        <n v="60000"/>
        <n v="15000"/>
        <e v="#VALUE!"/>
        <n v="45000"/>
        <n v="270000"/>
        <n v="360000"/>
        <n v="1750000"/>
        <n v="0"/>
        <n v="90000"/>
        <n v="180000"/>
        <n v="1050000"/>
        <n v="1400000"/>
        <n v="350000"/>
        <n v="20000"/>
        <n v="10000"/>
        <n v="25000"/>
        <n v="700000"/>
        <n v="135000"/>
        <n v="75000"/>
        <n v="30000"/>
      </sharedItems>
    </cacheField>
    <cacheField name="Prog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li Musa"/>
    <x v="0"/>
    <n v="4"/>
    <s v="Samuel"/>
    <s v="pending"/>
    <s v="Ali Musa"/>
    <x v="0"/>
    <n v="15000"/>
    <x v="0"/>
    <s v="Retail"/>
    <n v="500000"/>
    <x v="0"/>
    <s v="Not Achieved"/>
  </r>
  <r>
    <x v="1"/>
    <s v="AminaBello"/>
    <x v="0"/>
    <n v="1"/>
    <s v="Joy"/>
    <s v="pending"/>
    <s v="Aminabello"/>
    <x v="1"/>
    <n v="15000"/>
    <x v="0"/>
    <s v="Corporate"/>
    <n v="350000"/>
    <x v="1"/>
    <s v="Not Achieved"/>
  </r>
  <r>
    <x v="2"/>
    <s v="Uknown Customer"/>
    <x v="1"/>
    <s v="Average"/>
    <s v="Samuel"/>
    <s v="pending"/>
    <s v="Uknown Customer"/>
    <x v="0"/>
    <n v="90000"/>
    <x v="1"/>
    <s v="Retail"/>
    <n v="500000"/>
    <x v="2"/>
    <e v="#VALUE!"/>
  </r>
  <r>
    <x v="3"/>
    <s v="Ali Musa"/>
    <x v="0"/>
    <n v="1"/>
    <s v="  Henry"/>
    <s v="pending"/>
    <s v="Ali Musa"/>
    <x v="2"/>
    <n v="15000"/>
    <x v="0"/>
    <e v="#N/A"/>
    <e v="#N/A"/>
    <x v="1"/>
    <e v="#N/A"/>
  </r>
  <r>
    <x v="4"/>
    <s v="Peter Yusuf"/>
    <x v="0"/>
    <n v="1"/>
    <s v="Samuel"/>
    <s v="pending"/>
    <s v="Peter Yusuf"/>
    <x v="0"/>
    <n v="15000"/>
    <x v="0"/>
    <s v="Retail"/>
    <n v="500000"/>
    <x v="1"/>
    <s v="Not Achieved"/>
  </r>
  <r>
    <x v="5"/>
    <s v="Uknown Customer"/>
    <x v="2"/>
    <n v="1"/>
    <s v="Samuel"/>
    <s v="pending"/>
    <s v="Uknown Customer"/>
    <x v="0"/>
    <n v="45000"/>
    <x v="1"/>
    <s v="Retail"/>
    <n v="500000"/>
    <x v="3"/>
    <s v="Not Achieved"/>
  </r>
  <r>
    <x v="6"/>
    <s v="Uknown Customer"/>
    <x v="1"/>
    <n v="3"/>
    <s v="Samuel"/>
    <s v="pending"/>
    <s v="Uknown Customer"/>
    <x v="0"/>
    <n v="90000"/>
    <x v="1"/>
    <s v="Retail"/>
    <n v="500000"/>
    <x v="4"/>
    <s v="Not Achieved"/>
  </r>
  <r>
    <x v="7"/>
    <s v="Uknown Customer"/>
    <x v="2"/>
    <s v="Average"/>
    <s v="Emma"/>
    <s v="pending"/>
    <s v="Uknown Customer"/>
    <x v="3"/>
    <n v="45000"/>
    <x v="1"/>
    <s v="Retail"/>
    <n v="200000"/>
    <x v="2"/>
    <e v="#VALUE!"/>
  </r>
  <r>
    <x v="8"/>
    <s v="Ali Musa"/>
    <x v="2"/>
    <n v="1"/>
    <s v="Samuel"/>
    <s v="pending"/>
    <s v="Ali Musa"/>
    <x v="0"/>
    <n v="45000"/>
    <x v="1"/>
    <s v="Retail"/>
    <n v="500000"/>
    <x v="3"/>
    <s v="Not Achieved"/>
  </r>
  <r>
    <x v="9"/>
    <s v="Mary Okon"/>
    <x v="1"/>
    <n v="4"/>
    <s v="Samuel"/>
    <s v="Delivered"/>
    <s v="Mary Okon"/>
    <x v="0"/>
    <n v="90000"/>
    <x v="1"/>
    <s v="Retail"/>
    <n v="500000"/>
    <x v="5"/>
    <s v="Not Achieved"/>
  </r>
  <r>
    <x v="10"/>
    <s v="Peter Yusuf"/>
    <x v="3"/>
    <n v="5"/>
    <s v="Emma"/>
    <s v="Delivered"/>
    <s v="Peter Yusuf"/>
    <x v="3"/>
    <n v="350000"/>
    <x v="1"/>
    <s v="Retail"/>
    <n v="200000"/>
    <x v="6"/>
    <s v="Achieved"/>
  </r>
  <r>
    <x v="11"/>
    <s v="Ali Musa"/>
    <x v="2"/>
    <n v="1"/>
    <s v="Emma"/>
    <s v="Delivered"/>
    <s v="Ali Musa"/>
    <x v="3"/>
    <n v="45000"/>
    <x v="1"/>
    <s v="Retail"/>
    <n v="200000"/>
    <x v="3"/>
    <s v="Not Achieved"/>
  </r>
  <r>
    <x v="12"/>
    <s v="Peter Yusuf"/>
    <x v="4"/>
    <n v="3"/>
    <s v="Emma"/>
    <s v="pending"/>
    <s v="Peter Yusuf"/>
    <x v="3"/>
    <n v="0"/>
    <x v="2"/>
    <s v="Retail"/>
    <n v="200000"/>
    <x v="7"/>
    <s v="Not Achieved"/>
  </r>
  <r>
    <x v="13"/>
    <s v="Peter Yusuf"/>
    <x v="4"/>
    <s v="Average"/>
    <s v="Samuel"/>
    <s v="Returned"/>
    <s v="Peter Yusuf"/>
    <x v="0"/>
    <n v="0"/>
    <x v="2"/>
    <s v="Retail"/>
    <n v="500000"/>
    <x v="2"/>
    <e v="#VALUE!"/>
  </r>
  <r>
    <x v="14"/>
    <s v="Uknown Customer"/>
    <x v="0"/>
    <n v="3"/>
    <s v="  Henry"/>
    <s v="pending"/>
    <s v="Uknown Customer"/>
    <x v="2"/>
    <n v="15000"/>
    <x v="0"/>
    <e v="#N/A"/>
    <e v="#N/A"/>
    <x v="3"/>
    <e v="#N/A"/>
  </r>
  <r>
    <x v="15"/>
    <s v="Uknown Customer"/>
    <x v="4"/>
    <n v="1"/>
    <s v="Samuel"/>
    <s v="pending"/>
    <s v="Uknown Customer"/>
    <x v="0"/>
    <n v="0"/>
    <x v="2"/>
    <s v="Retail"/>
    <n v="500000"/>
    <x v="7"/>
    <s v="Not Achieved"/>
  </r>
  <r>
    <x v="16"/>
    <s v="Amina Bello"/>
    <x v="0"/>
    <s v="Average"/>
    <s v="Samuel"/>
    <s v="pending"/>
    <s v="Amina Bello"/>
    <x v="0"/>
    <n v="15000"/>
    <x v="0"/>
    <s v="Retail"/>
    <n v="500000"/>
    <x v="2"/>
    <e v="#VALUE!"/>
  </r>
  <r>
    <x v="17"/>
    <s v="Uknown Customer"/>
    <x v="3"/>
    <n v="5"/>
    <s v="Emma"/>
    <s v="pending"/>
    <s v="Uknown Customer"/>
    <x v="3"/>
    <n v="350000"/>
    <x v="1"/>
    <s v="Retail"/>
    <n v="200000"/>
    <x v="6"/>
    <s v="Achieved"/>
  </r>
  <r>
    <x v="18"/>
    <s v="Uknown Customer"/>
    <x v="1"/>
    <n v="1"/>
    <s v="Samuel"/>
    <s v="Delivered"/>
    <s v="Uknown Customer"/>
    <x v="0"/>
    <n v="90000"/>
    <x v="1"/>
    <s v="Retail"/>
    <n v="500000"/>
    <x v="8"/>
    <s v="Not Achieved"/>
  </r>
  <r>
    <x v="19"/>
    <s v="Peter Yusuf"/>
    <x v="1"/>
    <n v="3"/>
    <s v="Samuel"/>
    <s v="Returned"/>
    <s v="Peter Yusuf"/>
    <x v="0"/>
    <n v="90000"/>
    <x v="1"/>
    <s v="Retail"/>
    <n v="500000"/>
    <x v="4"/>
    <s v="Not Achieved"/>
  </r>
  <r>
    <x v="20"/>
    <s v="  Grace  "/>
    <x v="1"/>
    <n v="2"/>
    <s v="  Henry"/>
    <s v="pending"/>
    <s v="Grace"/>
    <x v="2"/>
    <n v="90000"/>
    <x v="1"/>
    <e v="#N/A"/>
    <e v="#N/A"/>
    <x v="9"/>
    <e v="#N/A"/>
  </r>
  <r>
    <x v="21"/>
    <s v="Uknown Customer"/>
    <x v="4"/>
    <n v="4"/>
    <s v="Samuel"/>
    <s v="pending"/>
    <s v="Uknown Customer"/>
    <x v="0"/>
    <n v="0"/>
    <x v="2"/>
    <s v="Retail"/>
    <n v="500000"/>
    <x v="7"/>
    <s v="Not Achieved"/>
  </r>
  <r>
    <x v="22"/>
    <s v="Mary Okon"/>
    <x v="3"/>
    <n v="3"/>
    <s v="  Henry"/>
    <s v="Delivered"/>
    <s v="Mary Okon"/>
    <x v="2"/>
    <n v="350000"/>
    <x v="1"/>
    <e v="#N/A"/>
    <e v="#N/A"/>
    <x v="10"/>
    <e v="#N/A"/>
  </r>
  <r>
    <x v="23"/>
    <s v="Uknown Customer"/>
    <x v="4"/>
    <s v="Average"/>
    <s v="Emma"/>
    <s v="pending"/>
    <s v="Uknown Customer"/>
    <x v="3"/>
    <n v="0"/>
    <x v="2"/>
    <s v="Retail"/>
    <n v="200000"/>
    <x v="2"/>
    <e v="#VALUE!"/>
  </r>
  <r>
    <x v="24"/>
    <s v="Amina Bello"/>
    <x v="4"/>
    <n v="1"/>
    <s v="  Henry"/>
    <s v="Returned"/>
    <s v="Amina Bello"/>
    <x v="2"/>
    <n v="0"/>
    <x v="2"/>
    <e v="#N/A"/>
    <e v="#N/A"/>
    <x v="7"/>
    <e v="#N/A"/>
  </r>
  <r>
    <x v="25"/>
    <s v="  Grace  "/>
    <x v="3"/>
    <n v="4"/>
    <s v="Samuel"/>
    <s v="pending"/>
    <s v="Grace"/>
    <x v="0"/>
    <n v="350000"/>
    <x v="1"/>
    <s v="Retail"/>
    <n v="500000"/>
    <x v="11"/>
    <s v="Achieved"/>
  </r>
  <r>
    <x v="26"/>
    <s v="  Grace  "/>
    <x v="3"/>
    <n v="1"/>
    <s v="Emma"/>
    <s v="Delivered"/>
    <s v="Grace"/>
    <x v="3"/>
    <n v="350000"/>
    <x v="1"/>
    <s v="Retail"/>
    <n v="200000"/>
    <x v="12"/>
    <s v="Achieved"/>
  </r>
  <r>
    <x v="27"/>
    <s v="Mary Okon"/>
    <x v="3"/>
    <s v="Average"/>
    <s v="Samuel"/>
    <s v="pending"/>
    <s v="Mary Okon"/>
    <x v="0"/>
    <n v="350000"/>
    <x v="1"/>
    <s v="Retail"/>
    <n v="500000"/>
    <x v="2"/>
    <e v="#VALUE!"/>
  </r>
  <r>
    <x v="28"/>
    <s v="Uknown Customer"/>
    <x v="3"/>
    <n v="1"/>
    <s v="Samuel"/>
    <s v="pending"/>
    <s v="Uknown Customer"/>
    <x v="0"/>
    <n v="350000"/>
    <x v="1"/>
    <s v="Retail"/>
    <n v="500000"/>
    <x v="12"/>
    <s v="Not Achieved"/>
  </r>
  <r>
    <x v="29"/>
    <s v="Amina Bello"/>
    <x v="1"/>
    <n v="2"/>
    <s v="Joy"/>
    <s v="pending"/>
    <s v="Amina Bello"/>
    <x v="1"/>
    <n v="90000"/>
    <x v="1"/>
    <s v="Corporate"/>
    <n v="350000"/>
    <x v="9"/>
    <s v="Not Achieved"/>
  </r>
  <r>
    <x v="30"/>
    <s v="Uknown Customer"/>
    <x v="5"/>
    <n v="4"/>
    <s v="  Henry"/>
    <s v="pending"/>
    <s v="Uknown Customer"/>
    <x v="2"/>
    <n v="5000"/>
    <x v="0"/>
    <e v="#N/A"/>
    <e v="#N/A"/>
    <x v="13"/>
    <e v="#N/A"/>
  </r>
  <r>
    <x v="31"/>
    <s v="John Ade"/>
    <x v="5"/>
    <n v="4"/>
    <s v="Joy"/>
    <s v="pending"/>
    <s v="John Ade"/>
    <x v="1"/>
    <n v="5000"/>
    <x v="0"/>
    <s v="Corporate"/>
    <n v="350000"/>
    <x v="13"/>
    <s v="Not Achieved"/>
  </r>
  <r>
    <x v="32"/>
    <s v="Amina Bello"/>
    <x v="3"/>
    <s v="Average"/>
    <s v="Joy"/>
    <s v="pending"/>
    <s v="Amina Bello"/>
    <x v="1"/>
    <n v="350000"/>
    <x v="1"/>
    <s v="Corporate"/>
    <n v="350000"/>
    <x v="2"/>
    <e v="#VALUE!"/>
  </r>
  <r>
    <x v="33"/>
    <s v="Mary Okon"/>
    <x v="5"/>
    <n v="2"/>
    <s v="  Henry"/>
    <s v="Delivered"/>
    <s v="Mary Okon"/>
    <x v="2"/>
    <n v="5000"/>
    <x v="0"/>
    <e v="#N/A"/>
    <e v="#N/A"/>
    <x v="14"/>
    <e v="#N/A"/>
  </r>
  <r>
    <x v="34"/>
    <s v="  Grace  "/>
    <x v="5"/>
    <n v="3"/>
    <s v="Emma"/>
    <s v="pending"/>
    <s v="Grace"/>
    <x v="3"/>
    <n v="5000"/>
    <x v="0"/>
    <s v="Retail"/>
    <n v="200000"/>
    <x v="1"/>
    <s v="Not Achieved"/>
  </r>
  <r>
    <x v="35"/>
    <s v="Uknown Customer"/>
    <x v="3"/>
    <n v="1"/>
    <s v="Samuel"/>
    <s v="Returned"/>
    <s v="Uknown Customer"/>
    <x v="0"/>
    <n v="350000"/>
    <x v="1"/>
    <s v="Retail"/>
    <n v="500000"/>
    <x v="12"/>
    <s v="Not Achieved"/>
  </r>
  <r>
    <x v="36"/>
    <s v="Amina Bello"/>
    <x v="5"/>
    <n v="5"/>
    <s v="Samuel"/>
    <s v="pending"/>
    <s v="Amina Bello"/>
    <x v="0"/>
    <n v="5000"/>
    <x v="0"/>
    <s v="Retail"/>
    <n v="500000"/>
    <x v="15"/>
    <s v="Not Achieved"/>
  </r>
  <r>
    <x v="37"/>
    <s v="John Ade"/>
    <x v="4"/>
    <n v="1"/>
    <s v="Samuel"/>
    <s v="pending"/>
    <s v="John Ade"/>
    <x v="0"/>
    <n v="0"/>
    <x v="2"/>
    <s v="Retail"/>
    <n v="500000"/>
    <x v="7"/>
    <s v="Not Achieved"/>
  </r>
  <r>
    <x v="38"/>
    <s v="John Ade"/>
    <x v="0"/>
    <n v="1"/>
    <s v="Samuel"/>
    <s v="Delivered"/>
    <s v="John Ade"/>
    <x v="0"/>
    <n v="15000"/>
    <x v="0"/>
    <s v="Retail"/>
    <n v="500000"/>
    <x v="1"/>
    <s v="Not Achieved"/>
  </r>
  <r>
    <x v="39"/>
    <s v="Peter Yusuf"/>
    <x v="0"/>
    <n v="3"/>
    <s v="Samuel"/>
    <s v="pending"/>
    <s v="Peter Yusuf"/>
    <x v="0"/>
    <n v="15000"/>
    <x v="0"/>
    <s v="Retail"/>
    <n v="500000"/>
    <x v="3"/>
    <s v="Not Achieved"/>
  </r>
  <r>
    <x v="40"/>
    <s v="Peter Yusuf"/>
    <x v="3"/>
    <n v="1"/>
    <s v="Samuel"/>
    <s v="pending"/>
    <s v="Peter Yusuf"/>
    <x v="0"/>
    <n v="350000"/>
    <x v="1"/>
    <s v="Retail"/>
    <n v="500000"/>
    <x v="12"/>
    <s v="Not Achieved"/>
  </r>
  <r>
    <x v="41"/>
    <s v="Ali Musa"/>
    <x v="1"/>
    <n v="2"/>
    <s v="  Henry"/>
    <s v="pending"/>
    <s v="Ali Musa"/>
    <x v="2"/>
    <n v="90000"/>
    <x v="1"/>
    <e v="#N/A"/>
    <e v="#N/A"/>
    <x v="9"/>
    <e v="#N/A"/>
  </r>
  <r>
    <x v="42"/>
    <s v="Mary Okon"/>
    <x v="3"/>
    <n v="2"/>
    <s v="Samuel"/>
    <s v="pending"/>
    <s v="Mary Okon"/>
    <x v="0"/>
    <n v="350000"/>
    <x v="1"/>
    <s v="Retail"/>
    <n v="500000"/>
    <x v="16"/>
    <s v="Achieved"/>
  </r>
  <r>
    <x v="43"/>
    <s v="Uknown Customer"/>
    <x v="1"/>
    <n v="4"/>
    <s v="Samuel"/>
    <s v="Returned"/>
    <s v="Uknown Customer"/>
    <x v="0"/>
    <n v="90000"/>
    <x v="1"/>
    <s v="Retail"/>
    <n v="500000"/>
    <x v="5"/>
    <s v="Not Achieved"/>
  </r>
  <r>
    <x v="44"/>
    <s v="Amina Bello"/>
    <x v="0"/>
    <s v="Average"/>
    <s v="Emma"/>
    <s v="Delivered"/>
    <s v="Amina Bello"/>
    <x v="3"/>
    <n v="15000"/>
    <x v="0"/>
    <s v="Retail"/>
    <n v="200000"/>
    <x v="2"/>
    <e v="#VALUE!"/>
  </r>
  <r>
    <x v="45"/>
    <s v="Amina Bello"/>
    <x v="3"/>
    <n v="5"/>
    <s v="Samuel"/>
    <s v="Returned"/>
    <s v="Amina Bello"/>
    <x v="0"/>
    <n v="350000"/>
    <x v="1"/>
    <s v="Retail"/>
    <n v="500000"/>
    <x v="6"/>
    <s v="Achieved"/>
  </r>
  <r>
    <x v="46"/>
    <s v="Uknown Customer"/>
    <x v="2"/>
    <n v="1"/>
    <s v="Samuel"/>
    <s v="pending"/>
    <s v="Uknown Customer"/>
    <x v="0"/>
    <n v="45000"/>
    <x v="1"/>
    <s v="Retail"/>
    <n v="500000"/>
    <x v="3"/>
    <s v="Not Achieved"/>
  </r>
  <r>
    <x v="47"/>
    <s v="Ali Musa"/>
    <x v="4"/>
    <n v="1"/>
    <s v="Samuel"/>
    <s v="pending"/>
    <s v="Ali Musa"/>
    <x v="0"/>
    <n v="0"/>
    <x v="2"/>
    <s v="Retail"/>
    <n v="500000"/>
    <x v="7"/>
    <s v="Not Achieved"/>
  </r>
  <r>
    <x v="48"/>
    <s v="  Grace  "/>
    <x v="5"/>
    <n v="3"/>
    <s v="Emma"/>
    <s v="pending"/>
    <s v="Grace"/>
    <x v="3"/>
    <n v="5000"/>
    <x v="0"/>
    <s v="Retail"/>
    <n v="200000"/>
    <x v="1"/>
    <s v="Not Achieved"/>
  </r>
  <r>
    <x v="49"/>
    <s v="  Grace  "/>
    <x v="1"/>
    <s v="Average"/>
    <s v="Emma"/>
    <s v="Returned"/>
    <s v="Grace"/>
    <x v="3"/>
    <n v="90000"/>
    <x v="1"/>
    <s v="Retail"/>
    <n v="200000"/>
    <x v="2"/>
    <e v="#VALUE!"/>
  </r>
  <r>
    <x v="50"/>
    <s v="Ali Musa"/>
    <x v="2"/>
    <n v="2"/>
    <s v="  Henry"/>
    <s v="pending"/>
    <s v="Ali Musa"/>
    <x v="2"/>
    <n v="45000"/>
    <x v="1"/>
    <e v="#N/A"/>
    <e v="#N/A"/>
    <x v="8"/>
    <e v="#N/A"/>
  </r>
  <r>
    <x v="51"/>
    <s v="  Grace  "/>
    <x v="5"/>
    <n v="5"/>
    <s v="  Henry"/>
    <s v="Returned"/>
    <s v="Grace"/>
    <x v="2"/>
    <n v="5000"/>
    <x v="0"/>
    <e v="#N/A"/>
    <e v="#N/A"/>
    <x v="15"/>
    <e v="#N/A"/>
  </r>
  <r>
    <x v="52"/>
    <s v="Peter Yusuf"/>
    <x v="5"/>
    <n v="4"/>
    <s v="  Henry"/>
    <s v="pending"/>
    <s v="Peter Yusuf"/>
    <x v="2"/>
    <n v="5000"/>
    <x v="0"/>
    <e v="#N/A"/>
    <e v="#N/A"/>
    <x v="13"/>
    <e v="#N/A"/>
  </r>
  <r>
    <x v="53"/>
    <s v="Amina Bello"/>
    <x v="3"/>
    <n v="2"/>
    <s v="  Henry"/>
    <s v="pending"/>
    <s v="Amina Bello"/>
    <x v="2"/>
    <n v="350000"/>
    <x v="1"/>
    <e v="#N/A"/>
    <e v="#N/A"/>
    <x v="16"/>
    <e v="#N/A"/>
  </r>
  <r>
    <x v="54"/>
    <s v="Ali Musa"/>
    <x v="5"/>
    <s v="Average"/>
    <s v="  Henry"/>
    <s v="pending"/>
    <s v="Ali Musa"/>
    <x v="2"/>
    <n v="5000"/>
    <x v="0"/>
    <e v="#N/A"/>
    <e v="#N/A"/>
    <x v="2"/>
    <e v="#VALUE!"/>
  </r>
  <r>
    <x v="55"/>
    <s v="Amina Bello"/>
    <x v="4"/>
    <n v="4"/>
    <s v="  Henry"/>
    <s v="Returned"/>
    <s v="Amina Bello"/>
    <x v="2"/>
    <n v="0"/>
    <x v="2"/>
    <e v="#N/A"/>
    <e v="#N/A"/>
    <x v="7"/>
    <e v="#N/A"/>
  </r>
  <r>
    <x v="56"/>
    <s v="Uknown Customer"/>
    <x v="2"/>
    <n v="3"/>
    <s v="Samuel"/>
    <s v="pending"/>
    <s v="Uknown Customer"/>
    <x v="0"/>
    <n v="45000"/>
    <x v="1"/>
    <s v="Retail"/>
    <n v="500000"/>
    <x v="17"/>
    <s v="Not Achieved"/>
  </r>
  <r>
    <x v="57"/>
    <s v="John Ade"/>
    <x v="5"/>
    <n v="3"/>
    <s v="Emma"/>
    <s v="pending"/>
    <s v="John Ade"/>
    <x v="3"/>
    <n v="5000"/>
    <x v="0"/>
    <s v="Retail"/>
    <n v="200000"/>
    <x v="1"/>
    <s v="Not Achieved"/>
  </r>
  <r>
    <x v="58"/>
    <s v="Peter Yusuf"/>
    <x v="3"/>
    <n v="1"/>
    <s v="  Henry"/>
    <s v="pending"/>
    <s v="Peter Yusuf"/>
    <x v="2"/>
    <n v="350000"/>
    <x v="1"/>
    <e v="#N/A"/>
    <e v="#N/A"/>
    <x v="12"/>
    <e v="#N/A"/>
  </r>
  <r>
    <x v="59"/>
    <s v="Uknown Customer"/>
    <x v="4"/>
    <s v="Average"/>
    <s v="Emma"/>
    <s v="pending"/>
    <s v="Uknown Customer"/>
    <x v="3"/>
    <n v="0"/>
    <x v="2"/>
    <s v="Retail"/>
    <n v="200000"/>
    <x v="2"/>
    <e v="#VALUE!"/>
  </r>
  <r>
    <x v="60"/>
    <s v="Peter Yusuf"/>
    <x v="0"/>
    <n v="5"/>
    <s v="Emma"/>
    <s v="Delivered"/>
    <s v="Peter Yusuf"/>
    <x v="3"/>
    <n v="15000"/>
    <x v="0"/>
    <s v="Retail"/>
    <n v="200000"/>
    <x v="18"/>
    <s v="Not Achieved"/>
  </r>
  <r>
    <x v="61"/>
    <s v="Ali Musa"/>
    <x v="2"/>
    <n v="4"/>
    <s v="Joy"/>
    <s v="pending"/>
    <s v="Ali Musa"/>
    <x v="1"/>
    <n v="45000"/>
    <x v="1"/>
    <s v="Corporate"/>
    <n v="350000"/>
    <x v="9"/>
    <s v="Not Achieved"/>
  </r>
  <r>
    <x v="62"/>
    <s v="Uknown Customer"/>
    <x v="5"/>
    <n v="2"/>
    <s v="Samuel"/>
    <s v="pending"/>
    <s v="Uknown Customer"/>
    <x v="0"/>
    <n v="5000"/>
    <x v="0"/>
    <s v="Retail"/>
    <n v="500000"/>
    <x v="14"/>
    <s v="Not Achieved"/>
  </r>
  <r>
    <x v="63"/>
    <s v="John Ade"/>
    <x v="3"/>
    <s v="Average"/>
    <s v="  Henry"/>
    <s v="pending"/>
    <s v="John Ade"/>
    <x v="2"/>
    <n v="350000"/>
    <x v="1"/>
    <e v="#N/A"/>
    <e v="#N/A"/>
    <x v="2"/>
    <e v="#VALUE!"/>
  </r>
  <r>
    <x v="64"/>
    <s v="Ali Musa"/>
    <x v="0"/>
    <s v="Average"/>
    <s v="Samuel"/>
    <s v="pending"/>
    <s v="Ali Musa"/>
    <x v="0"/>
    <n v="15000"/>
    <x v="0"/>
    <s v="Retail"/>
    <n v="500000"/>
    <x v="2"/>
    <e v="#VALUE!"/>
  </r>
  <r>
    <x v="65"/>
    <s v="Mary Okon"/>
    <x v="0"/>
    <n v="3"/>
    <s v="Samuel"/>
    <s v="Returned"/>
    <s v="Mary Okon"/>
    <x v="0"/>
    <n v="15000"/>
    <x v="0"/>
    <s v="Retail"/>
    <n v="500000"/>
    <x v="3"/>
    <s v="Not Achieved"/>
  </r>
  <r>
    <x v="66"/>
    <s v="Amina Bello"/>
    <x v="1"/>
    <n v="1"/>
    <s v="Samuel"/>
    <s v="pending"/>
    <s v="Amina Bello"/>
    <x v="0"/>
    <n v="90000"/>
    <x v="1"/>
    <s v="Retail"/>
    <n v="500000"/>
    <x v="8"/>
    <s v="Not Achieved"/>
  </r>
  <r>
    <x v="67"/>
    <s v="John Ade"/>
    <x v="4"/>
    <n v="1"/>
    <s v="Samuel"/>
    <s v="Returned"/>
    <s v="John Ade"/>
    <x v="0"/>
    <n v="0"/>
    <x v="2"/>
    <s v="Retail"/>
    <n v="500000"/>
    <x v="7"/>
    <s v="Not Achieved"/>
  </r>
  <r>
    <x v="68"/>
    <s v="Amina Bello"/>
    <x v="5"/>
    <n v="4"/>
    <s v="Samuel"/>
    <s v="Delivered"/>
    <s v="Amina Bello"/>
    <x v="0"/>
    <n v="5000"/>
    <x v="0"/>
    <s v="Retail"/>
    <n v="500000"/>
    <x v="13"/>
    <s v="Not Achieved"/>
  </r>
  <r>
    <x v="69"/>
    <s v="  Grace  "/>
    <x v="3"/>
    <n v="3"/>
    <s v="Samuel"/>
    <s v="pending"/>
    <s v="Grace"/>
    <x v="0"/>
    <n v="350000"/>
    <x v="1"/>
    <s v="Retail"/>
    <n v="500000"/>
    <x v="10"/>
    <s v="Achieved"/>
  </r>
  <r>
    <x v="70"/>
    <s v="Mary Okon"/>
    <x v="1"/>
    <s v="Average"/>
    <s v="Emma"/>
    <s v="Returned"/>
    <s v="Mary Okon"/>
    <x v="3"/>
    <n v="90000"/>
    <x v="1"/>
    <s v="Retail"/>
    <n v="200000"/>
    <x v="2"/>
    <e v="#VALUE!"/>
  </r>
  <r>
    <x v="71"/>
    <s v="Mary Okon"/>
    <x v="4"/>
    <n v="5"/>
    <s v="Samuel"/>
    <s v="Delivered"/>
    <s v="Mary Okon"/>
    <x v="0"/>
    <n v="0"/>
    <x v="2"/>
    <s v="Retail"/>
    <n v="500000"/>
    <x v="7"/>
    <s v="Not Achieved"/>
  </r>
  <r>
    <x v="72"/>
    <s v="John Ade"/>
    <x v="1"/>
    <n v="3"/>
    <s v="Emma"/>
    <s v="pending"/>
    <s v="John Ade"/>
    <x v="3"/>
    <n v="90000"/>
    <x v="1"/>
    <s v="Retail"/>
    <n v="200000"/>
    <x v="4"/>
    <s v="Achieved"/>
  </r>
  <r>
    <x v="73"/>
    <s v="Mary Okon"/>
    <x v="2"/>
    <n v="4"/>
    <s v="Samuel"/>
    <s v="pending"/>
    <s v="Mary Okon"/>
    <x v="0"/>
    <n v="45000"/>
    <x v="1"/>
    <s v="Retail"/>
    <n v="500000"/>
    <x v="9"/>
    <s v="Not Achieved"/>
  </r>
  <r>
    <x v="74"/>
    <s v="Uknown Customer"/>
    <x v="4"/>
    <n v="4"/>
    <s v="Samuel"/>
    <s v="Delivered"/>
    <s v="Uknown Customer"/>
    <x v="0"/>
    <n v="0"/>
    <x v="2"/>
    <s v="Retail"/>
    <n v="500000"/>
    <x v="7"/>
    <s v="Not Achieved"/>
  </r>
  <r>
    <x v="75"/>
    <s v="Mary Okon"/>
    <x v="4"/>
    <n v="3"/>
    <s v="Samuel"/>
    <s v="pending"/>
    <s v="Mary Okon"/>
    <x v="0"/>
    <n v="0"/>
    <x v="2"/>
    <s v="Retail"/>
    <n v="500000"/>
    <x v="7"/>
    <s v="Not Achieved"/>
  </r>
  <r>
    <x v="76"/>
    <s v="Amina Bello"/>
    <x v="5"/>
    <n v="4"/>
    <s v="Samuel"/>
    <s v="Delivered"/>
    <s v="Amina Bello"/>
    <x v="0"/>
    <n v="5000"/>
    <x v="0"/>
    <s v="Retail"/>
    <n v="500000"/>
    <x v="13"/>
    <s v="Not Achieved"/>
  </r>
  <r>
    <x v="77"/>
    <s v="Amina Bello"/>
    <x v="4"/>
    <n v="3"/>
    <s v="  Henry"/>
    <s v="Returned"/>
    <s v="Amina Bello"/>
    <x v="2"/>
    <n v="0"/>
    <x v="2"/>
    <e v="#N/A"/>
    <e v="#N/A"/>
    <x v="7"/>
    <e v="#N/A"/>
  </r>
  <r>
    <x v="78"/>
    <s v="Ali Musa"/>
    <x v="1"/>
    <n v="2"/>
    <s v="Samuel"/>
    <s v="Returned"/>
    <s v="Ali Musa"/>
    <x v="0"/>
    <n v="90000"/>
    <x v="1"/>
    <s v="Retail"/>
    <n v="500000"/>
    <x v="9"/>
    <s v="Not Achieved"/>
  </r>
  <r>
    <x v="79"/>
    <s v="Amina Bello"/>
    <x v="4"/>
    <n v="3"/>
    <s v="  Henry"/>
    <s v="Delivered"/>
    <s v="Amina Bello"/>
    <x v="2"/>
    <n v="0"/>
    <x v="2"/>
    <e v="#N/A"/>
    <e v="#N/A"/>
    <x v="7"/>
    <e v="#N/A"/>
  </r>
  <r>
    <x v="80"/>
    <s v="Ali Musa"/>
    <x v="5"/>
    <n v="3"/>
    <s v="Samuel"/>
    <s v="Returned"/>
    <s v="Ali Musa"/>
    <x v="0"/>
    <n v="5000"/>
    <x v="0"/>
    <s v="Retail"/>
    <n v="500000"/>
    <x v="1"/>
    <s v="Not Achieved"/>
  </r>
  <r>
    <x v="81"/>
    <s v="Amina Bello"/>
    <x v="5"/>
    <n v="4"/>
    <s v="  Henry"/>
    <s v="Returned"/>
    <s v="Amina Bello"/>
    <x v="2"/>
    <n v="5000"/>
    <x v="0"/>
    <e v="#N/A"/>
    <e v="#N/A"/>
    <x v="13"/>
    <e v="#N/A"/>
  </r>
  <r>
    <x v="82"/>
    <s v="Uknown Customer"/>
    <x v="2"/>
    <n v="4"/>
    <s v="Emma"/>
    <s v="Returned"/>
    <s v="Uknown Customer"/>
    <x v="3"/>
    <n v="45000"/>
    <x v="1"/>
    <s v="Retail"/>
    <n v="200000"/>
    <x v="9"/>
    <s v="Not Achieved"/>
  </r>
  <r>
    <x v="83"/>
    <s v="Uknown Customer"/>
    <x v="1"/>
    <n v="1"/>
    <s v="Samuel"/>
    <s v="pending"/>
    <s v="Uknown Customer"/>
    <x v="0"/>
    <n v="90000"/>
    <x v="1"/>
    <s v="Retail"/>
    <n v="500000"/>
    <x v="8"/>
    <s v="Not Achieved"/>
  </r>
  <r>
    <x v="84"/>
    <s v="Ali Musa"/>
    <x v="0"/>
    <n v="1"/>
    <s v="Samuel"/>
    <s v="pending"/>
    <s v="Ali Musa"/>
    <x v="0"/>
    <n v="15000"/>
    <x v="0"/>
    <s v="Retail"/>
    <n v="500000"/>
    <x v="1"/>
    <s v="Not Achieved"/>
  </r>
  <r>
    <x v="85"/>
    <s v="Peter Yusuf"/>
    <x v="0"/>
    <n v="2"/>
    <s v="Samuel"/>
    <s v="pending"/>
    <s v="Peter Yusuf"/>
    <x v="0"/>
    <n v="15000"/>
    <x v="0"/>
    <s v="Retail"/>
    <n v="500000"/>
    <x v="19"/>
    <s v="Not Achieved"/>
  </r>
  <r>
    <x v="86"/>
    <s v="  Grace  "/>
    <x v="4"/>
    <n v="1"/>
    <s v="Samuel"/>
    <s v="pending"/>
    <s v="Grace"/>
    <x v="0"/>
    <n v="0"/>
    <x v="2"/>
    <s v="Retail"/>
    <n v="500000"/>
    <x v="7"/>
    <s v="Not Achieved"/>
  </r>
  <r>
    <x v="87"/>
    <s v="John Ade"/>
    <x v="2"/>
    <n v="3"/>
    <s v="Samuel"/>
    <s v="pending"/>
    <s v="John Ade"/>
    <x v="0"/>
    <n v="45000"/>
    <x v="1"/>
    <s v="Retail"/>
    <n v="500000"/>
    <x v="17"/>
    <s v="Not Achieved"/>
  </r>
  <r>
    <x v="88"/>
    <s v="Amina Bello"/>
    <x v="3"/>
    <n v="4"/>
    <s v="  Henry"/>
    <s v="Delivered"/>
    <s v="Amina Bello"/>
    <x v="2"/>
    <n v="350000"/>
    <x v="1"/>
    <e v="#N/A"/>
    <e v="#N/A"/>
    <x v="11"/>
    <e v="#N/A"/>
  </r>
  <r>
    <x v="89"/>
    <s v="Mary Okon"/>
    <x v="4"/>
    <n v="1"/>
    <s v="Samuel"/>
    <s v="Returned"/>
    <s v="Mary Okon"/>
    <x v="0"/>
    <n v="0"/>
    <x v="2"/>
    <s v="Retail"/>
    <n v="500000"/>
    <x v="7"/>
    <s v="Not Achieved"/>
  </r>
  <r>
    <x v="90"/>
    <s v="Uknown Customer"/>
    <x v="2"/>
    <n v="1"/>
    <s v="Emma"/>
    <s v="pending"/>
    <s v="Uknown Customer"/>
    <x v="3"/>
    <n v="45000"/>
    <x v="1"/>
    <s v="Retail"/>
    <n v="200000"/>
    <x v="3"/>
    <s v="Not Achieved"/>
  </r>
  <r>
    <x v="91"/>
    <s v="Amina Bello"/>
    <x v="1"/>
    <n v="2"/>
    <s v="Samuel"/>
    <s v="Returned"/>
    <s v="Amina Bello"/>
    <x v="0"/>
    <n v="90000"/>
    <x v="1"/>
    <s v="Retail"/>
    <n v="500000"/>
    <x v="9"/>
    <s v="Not Achieved"/>
  </r>
  <r>
    <x v="92"/>
    <s v="Mary Okon"/>
    <x v="1"/>
    <s v="Average"/>
    <s v="Samuel"/>
    <s v="Delivered"/>
    <s v="Mary Okon"/>
    <x v="0"/>
    <n v="90000"/>
    <x v="1"/>
    <s v="Retail"/>
    <n v="500000"/>
    <x v="2"/>
    <e v="#VALUE!"/>
  </r>
  <r>
    <x v="93"/>
    <s v="  Grace  "/>
    <x v="1"/>
    <n v="2"/>
    <s v="Samuel"/>
    <s v="pending"/>
    <s v="Grace"/>
    <x v="0"/>
    <n v="90000"/>
    <x v="1"/>
    <s v="Retail"/>
    <n v="500000"/>
    <x v="9"/>
    <s v="Not Achieved"/>
  </r>
  <r>
    <x v="94"/>
    <s v="  Grace  "/>
    <x v="1"/>
    <n v="3"/>
    <s v="Samuel"/>
    <s v="Returned"/>
    <s v="Grace"/>
    <x v="0"/>
    <n v="90000"/>
    <x v="1"/>
    <s v="Retail"/>
    <n v="500000"/>
    <x v="4"/>
    <s v="Not Achieved"/>
  </r>
  <r>
    <x v="95"/>
    <s v="  Grace  "/>
    <x v="1"/>
    <n v="4"/>
    <s v="Samuel"/>
    <s v="pending"/>
    <s v="Grace"/>
    <x v="0"/>
    <n v="90000"/>
    <x v="1"/>
    <s v="Retail"/>
    <n v="500000"/>
    <x v="5"/>
    <s v="Not Achieved"/>
  </r>
  <r>
    <x v="96"/>
    <s v="Mary Okon"/>
    <x v="2"/>
    <n v="2"/>
    <s v="Samuel"/>
    <s v="pending"/>
    <s v="Mary Okon"/>
    <x v="0"/>
    <n v="45000"/>
    <x v="1"/>
    <s v="Retail"/>
    <n v="500000"/>
    <x v="8"/>
    <s v="Not Achieved"/>
  </r>
  <r>
    <x v="97"/>
    <s v="Amina Bello"/>
    <x v="2"/>
    <n v="1"/>
    <s v="Emma"/>
    <s v="pending"/>
    <s v="Amina Bello"/>
    <x v="3"/>
    <n v="45000"/>
    <x v="1"/>
    <s v="Retail"/>
    <n v="200000"/>
    <x v="3"/>
    <s v="Not Achieved"/>
  </r>
  <r>
    <x v="98"/>
    <s v="  Grace  "/>
    <x v="5"/>
    <n v="4"/>
    <s v="Joy"/>
    <s v="Returned"/>
    <s v="Grace"/>
    <x v="1"/>
    <n v="5000"/>
    <x v="0"/>
    <s v="Corporate"/>
    <n v="350000"/>
    <x v="13"/>
    <s v="Not Achieved"/>
  </r>
  <r>
    <x v="99"/>
    <s v="Uknown Customer"/>
    <x v="0"/>
    <n v="4"/>
    <s v="Samuel"/>
    <s v="pending"/>
    <s v="Uknown Customer"/>
    <x v="0"/>
    <n v="15000"/>
    <x v="0"/>
    <s v="Retail"/>
    <n v="500000"/>
    <x v="0"/>
    <s v="Not Achie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C336-7D0D-4403-852F-F8429F70C3D7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x="3"/>
        <item x="0"/>
        <item x="5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1">
        <item x="7"/>
        <item x="14"/>
        <item x="1"/>
        <item x="13"/>
        <item x="15"/>
        <item x="19"/>
        <item x="3"/>
        <item x="0"/>
        <item x="18"/>
        <item x="8"/>
        <item x="17"/>
        <item x="9"/>
        <item x="4"/>
        <item x="12"/>
        <item x="5"/>
        <item x="16"/>
        <item x="10"/>
        <item x="11"/>
        <item x="6"/>
        <item x="2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 Sales" fld="1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A7639-E0F7-407E-BE02-67888D698AB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4" firstHeaderRow="1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1">
        <item x="7"/>
        <item x="14"/>
        <item x="1"/>
        <item x="13"/>
        <item x="15"/>
        <item x="19"/>
        <item x="3"/>
        <item x="0"/>
        <item x="18"/>
        <item x="8"/>
        <item x="17"/>
        <item x="9"/>
        <item x="4"/>
        <item x="12"/>
        <item x="5"/>
        <item x="16"/>
        <item x="10"/>
        <item x="11"/>
        <item x="6"/>
        <item x="2"/>
        <item t="default"/>
      </items>
    </pivotField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Count of Total Sale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FE992-92CF-44C4-A5E6-286E1CFD90DB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21">
        <item x="7"/>
        <item x="14"/>
        <item x="1"/>
        <item x="13"/>
        <item x="15"/>
        <item x="19"/>
        <item x="3"/>
        <item x="0"/>
        <item x="18"/>
        <item x="8"/>
        <item x="17"/>
        <item x="9"/>
        <item x="4"/>
        <item x="12"/>
        <item x="5"/>
        <item x="16"/>
        <item x="10"/>
        <item x="11"/>
        <item x="6"/>
        <item x="2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 Sale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FAB2D-5CBF-49E4-B0F5-5897EA6A6506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>
      <items count="21">
        <item x="7"/>
        <item x="14"/>
        <item x="1"/>
        <item x="13"/>
        <item x="15"/>
        <item x="19"/>
        <item x="3"/>
        <item x="0"/>
        <item x="18"/>
        <item x="8"/>
        <item x="17"/>
        <item x="9"/>
        <item x="4"/>
        <item x="12"/>
        <item x="5"/>
        <item x="16"/>
        <item x="10"/>
        <item x="11"/>
        <item x="6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Sales" fld="12" subtotal="count" showDataAs="percentOfTotal" baseField="9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F07-A8AB-46E9-A592-1EC28900A866}">
  <dimension ref="A3:B10"/>
  <sheetViews>
    <sheetView workbookViewId="0">
      <selection activeCell="M11" sqref="M11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3" t="s">
        <v>149</v>
      </c>
      <c r="B3" t="s">
        <v>152</v>
      </c>
    </row>
    <row r="4" spans="1:2" x14ac:dyDescent="0.25">
      <c r="A4" s="4" t="s">
        <v>30</v>
      </c>
      <c r="B4" s="5">
        <v>17</v>
      </c>
    </row>
    <row r="5" spans="1:2" x14ac:dyDescent="0.25">
      <c r="A5" s="4" t="s">
        <v>8</v>
      </c>
      <c r="B5" s="5">
        <v>15</v>
      </c>
    </row>
    <row r="6" spans="1:2" x14ac:dyDescent="0.25">
      <c r="A6" s="4" t="s">
        <v>53</v>
      </c>
      <c r="B6" s="5">
        <v>16</v>
      </c>
    </row>
    <row r="7" spans="1:2" x14ac:dyDescent="0.25">
      <c r="A7" s="4" t="s">
        <v>14</v>
      </c>
      <c r="B7" s="5">
        <v>20</v>
      </c>
    </row>
    <row r="8" spans="1:2" x14ac:dyDescent="0.25">
      <c r="A8" s="4" t="s">
        <v>21</v>
      </c>
      <c r="B8" s="5">
        <v>14</v>
      </c>
    </row>
    <row r="9" spans="1:2" x14ac:dyDescent="0.25">
      <c r="A9" s="4" t="s">
        <v>151</v>
      </c>
      <c r="B9" s="5">
        <v>18</v>
      </c>
    </row>
    <row r="10" spans="1:2" x14ac:dyDescent="0.25">
      <c r="A10" s="4" t="s">
        <v>150</v>
      </c>
      <c r="B10" s="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CC8E-1894-46B4-89B0-554EF2D251F8}">
  <dimension ref="A3:B104"/>
  <sheetViews>
    <sheetView topLeftCell="A3" workbookViewId="0">
      <selection activeCell="P14" sqref="P14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3" t="s">
        <v>149</v>
      </c>
      <c r="B3" t="s">
        <v>152</v>
      </c>
    </row>
    <row r="4" spans="1:2" x14ac:dyDescent="0.25">
      <c r="A4" s="4" t="s">
        <v>6</v>
      </c>
      <c r="B4" s="5">
        <v>1</v>
      </c>
    </row>
    <row r="5" spans="1:2" x14ac:dyDescent="0.25">
      <c r="A5" s="4" t="s">
        <v>10</v>
      </c>
      <c r="B5" s="5">
        <v>1</v>
      </c>
    </row>
    <row r="6" spans="1:2" x14ac:dyDescent="0.25">
      <c r="A6" s="4" t="s">
        <v>13</v>
      </c>
      <c r="B6" s="5">
        <v>1</v>
      </c>
    </row>
    <row r="7" spans="1:2" x14ac:dyDescent="0.25">
      <c r="A7" s="4" t="s">
        <v>16</v>
      </c>
      <c r="B7" s="5">
        <v>1</v>
      </c>
    </row>
    <row r="8" spans="1:2" x14ac:dyDescent="0.25">
      <c r="A8" s="4" t="s">
        <v>18</v>
      </c>
      <c r="B8" s="5">
        <v>1</v>
      </c>
    </row>
    <row r="9" spans="1:2" x14ac:dyDescent="0.25">
      <c r="A9" s="4" t="s">
        <v>20</v>
      </c>
      <c r="B9" s="5">
        <v>1</v>
      </c>
    </row>
    <row r="10" spans="1:2" x14ac:dyDescent="0.25">
      <c r="A10" s="4" t="s">
        <v>22</v>
      </c>
      <c r="B10" s="5">
        <v>1</v>
      </c>
    </row>
    <row r="11" spans="1:2" x14ac:dyDescent="0.25">
      <c r="A11" s="4" t="s">
        <v>23</v>
      </c>
      <c r="B11" s="5">
        <v>1</v>
      </c>
    </row>
    <row r="12" spans="1:2" x14ac:dyDescent="0.25">
      <c r="A12" s="4" t="s">
        <v>25</v>
      </c>
      <c r="B12" s="5">
        <v>1</v>
      </c>
    </row>
    <row r="13" spans="1:2" x14ac:dyDescent="0.25">
      <c r="A13" s="4" t="s">
        <v>26</v>
      </c>
      <c r="B13" s="5">
        <v>1</v>
      </c>
    </row>
    <row r="14" spans="1:2" x14ac:dyDescent="0.25">
      <c r="A14" s="4" t="s">
        <v>29</v>
      </c>
      <c r="B14" s="5">
        <v>1</v>
      </c>
    </row>
    <row r="15" spans="1:2" x14ac:dyDescent="0.25">
      <c r="A15" s="4" t="s">
        <v>31</v>
      </c>
      <c r="B15" s="5">
        <v>1</v>
      </c>
    </row>
    <row r="16" spans="1:2" x14ac:dyDescent="0.25">
      <c r="A16" s="4" t="s">
        <v>32</v>
      </c>
      <c r="B16" s="5">
        <v>1</v>
      </c>
    </row>
    <row r="17" spans="1:2" x14ac:dyDescent="0.25">
      <c r="A17" s="4" t="s">
        <v>33</v>
      </c>
      <c r="B17" s="5">
        <v>1</v>
      </c>
    </row>
    <row r="18" spans="1:2" x14ac:dyDescent="0.25">
      <c r="A18" s="4" t="s">
        <v>35</v>
      </c>
      <c r="B18" s="5">
        <v>1</v>
      </c>
    </row>
    <row r="19" spans="1:2" x14ac:dyDescent="0.25">
      <c r="A19" s="4" t="s">
        <v>36</v>
      </c>
      <c r="B19" s="5">
        <v>1</v>
      </c>
    </row>
    <row r="20" spans="1:2" x14ac:dyDescent="0.25">
      <c r="A20" s="4" t="s">
        <v>37</v>
      </c>
      <c r="B20" s="5">
        <v>1</v>
      </c>
    </row>
    <row r="21" spans="1:2" x14ac:dyDescent="0.25">
      <c r="A21" s="4" t="s">
        <v>38</v>
      </c>
      <c r="B21" s="5">
        <v>1</v>
      </c>
    </row>
    <row r="22" spans="1:2" x14ac:dyDescent="0.25">
      <c r="A22" s="4" t="s">
        <v>39</v>
      </c>
      <c r="B22" s="5">
        <v>1</v>
      </c>
    </row>
    <row r="23" spans="1:2" x14ac:dyDescent="0.25">
      <c r="A23" s="4" t="s">
        <v>40</v>
      </c>
      <c r="B23" s="5">
        <v>1</v>
      </c>
    </row>
    <row r="24" spans="1:2" x14ac:dyDescent="0.25">
      <c r="A24" s="4" t="s">
        <v>41</v>
      </c>
      <c r="B24" s="5">
        <v>1</v>
      </c>
    </row>
    <row r="25" spans="1:2" x14ac:dyDescent="0.25">
      <c r="A25" s="4" t="s">
        <v>43</v>
      </c>
      <c r="B25" s="5">
        <v>1</v>
      </c>
    </row>
    <row r="26" spans="1:2" x14ac:dyDescent="0.25">
      <c r="A26" s="4" t="s">
        <v>44</v>
      </c>
      <c r="B26" s="5">
        <v>1</v>
      </c>
    </row>
    <row r="27" spans="1:2" x14ac:dyDescent="0.25">
      <c r="A27" s="4" t="s">
        <v>45</v>
      </c>
      <c r="B27" s="5">
        <v>1</v>
      </c>
    </row>
    <row r="28" spans="1:2" x14ac:dyDescent="0.25">
      <c r="A28" s="4" t="s">
        <v>46</v>
      </c>
      <c r="B28" s="5">
        <v>1</v>
      </c>
    </row>
    <row r="29" spans="1:2" x14ac:dyDescent="0.25">
      <c r="A29" s="4" t="s">
        <v>47</v>
      </c>
      <c r="B29" s="5">
        <v>1</v>
      </c>
    </row>
    <row r="30" spans="1:2" x14ac:dyDescent="0.25">
      <c r="A30" s="4" t="s">
        <v>48</v>
      </c>
      <c r="B30" s="5">
        <v>1</v>
      </c>
    </row>
    <row r="31" spans="1:2" x14ac:dyDescent="0.25">
      <c r="A31" s="4" t="s">
        <v>49</v>
      </c>
      <c r="B31" s="5">
        <v>1</v>
      </c>
    </row>
    <row r="32" spans="1:2" x14ac:dyDescent="0.25">
      <c r="A32" s="4" t="s">
        <v>50</v>
      </c>
      <c r="B32" s="5">
        <v>1</v>
      </c>
    </row>
    <row r="33" spans="1:2" x14ac:dyDescent="0.25">
      <c r="A33" s="4" t="s">
        <v>51</v>
      </c>
      <c r="B33" s="5">
        <v>1</v>
      </c>
    </row>
    <row r="34" spans="1:2" x14ac:dyDescent="0.25">
      <c r="A34" s="4" t="s">
        <v>52</v>
      </c>
      <c r="B34" s="5">
        <v>1</v>
      </c>
    </row>
    <row r="35" spans="1:2" x14ac:dyDescent="0.25">
      <c r="A35" s="4" t="s">
        <v>54</v>
      </c>
      <c r="B35" s="5">
        <v>1</v>
      </c>
    </row>
    <row r="36" spans="1:2" x14ac:dyDescent="0.25">
      <c r="A36" s="4" t="s">
        <v>56</v>
      </c>
      <c r="B36" s="5">
        <v>1</v>
      </c>
    </row>
    <row r="37" spans="1:2" x14ac:dyDescent="0.25">
      <c r="A37" s="4" t="s">
        <v>57</v>
      </c>
      <c r="B37" s="5">
        <v>1</v>
      </c>
    </row>
    <row r="38" spans="1:2" x14ac:dyDescent="0.25">
      <c r="A38" s="4" t="s">
        <v>58</v>
      </c>
      <c r="B38" s="5">
        <v>1</v>
      </c>
    </row>
    <row r="39" spans="1:2" x14ac:dyDescent="0.25">
      <c r="A39" s="4" t="s">
        <v>59</v>
      </c>
      <c r="B39" s="5">
        <v>1</v>
      </c>
    </row>
    <row r="40" spans="1:2" x14ac:dyDescent="0.25">
      <c r="A40" s="4" t="s">
        <v>60</v>
      </c>
      <c r="B40" s="5">
        <v>1</v>
      </c>
    </row>
    <row r="41" spans="1:2" x14ac:dyDescent="0.25">
      <c r="A41" s="4" t="s">
        <v>61</v>
      </c>
      <c r="B41" s="5">
        <v>1</v>
      </c>
    </row>
    <row r="42" spans="1:2" x14ac:dyDescent="0.25">
      <c r="A42" s="4" t="s">
        <v>62</v>
      </c>
      <c r="B42" s="5">
        <v>1</v>
      </c>
    </row>
    <row r="43" spans="1:2" x14ac:dyDescent="0.25">
      <c r="A43" s="4" t="s">
        <v>63</v>
      </c>
      <c r="B43" s="5">
        <v>1</v>
      </c>
    </row>
    <row r="44" spans="1:2" x14ac:dyDescent="0.25">
      <c r="A44" s="4" t="s">
        <v>64</v>
      </c>
      <c r="B44" s="5">
        <v>1</v>
      </c>
    </row>
    <row r="45" spans="1:2" x14ac:dyDescent="0.25">
      <c r="A45" s="4" t="s">
        <v>65</v>
      </c>
      <c r="B45" s="5">
        <v>1</v>
      </c>
    </row>
    <row r="46" spans="1:2" x14ac:dyDescent="0.25">
      <c r="A46" s="4" t="s">
        <v>66</v>
      </c>
      <c r="B46" s="5">
        <v>1</v>
      </c>
    </row>
    <row r="47" spans="1:2" x14ac:dyDescent="0.25">
      <c r="A47" s="4" t="s">
        <v>67</v>
      </c>
      <c r="B47" s="5">
        <v>1</v>
      </c>
    </row>
    <row r="48" spans="1:2" x14ac:dyDescent="0.25">
      <c r="A48" s="4" t="s">
        <v>68</v>
      </c>
      <c r="B48" s="5">
        <v>1</v>
      </c>
    </row>
    <row r="49" spans="1:2" x14ac:dyDescent="0.25">
      <c r="A49" s="4" t="s">
        <v>69</v>
      </c>
      <c r="B49" s="5">
        <v>1</v>
      </c>
    </row>
    <row r="50" spans="1:2" x14ac:dyDescent="0.25">
      <c r="A50" s="4" t="s">
        <v>70</v>
      </c>
      <c r="B50" s="5">
        <v>1</v>
      </c>
    </row>
    <row r="51" spans="1:2" x14ac:dyDescent="0.25">
      <c r="A51" s="4" t="s">
        <v>71</v>
      </c>
      <c r="B51" s="5">
        <v>1</v>
      </c>
    </row>
    <row r="52" spans="1:2" x14ac:dyDescent="0.25">
      <c r="A52" s="4" t="s">
        <v>72</v>
      </c>
      <c r="B52" s="5">
        <v>1</v>
      </c>
    </row>
    <row r="53" spans="1:2" x14ac:dyDescent="0.25">
      <c r="A53" s="4" t="s">
        <v>73</v>
      </c>
      <c r="B53" s="5">
        <v>1</v>
      </c>
    </row>
    <row r="54" spans="1:2" x14ac:dyDescent="0.25">
      <c r="A54" s="4" t="s">
        <v>74</v>
      </c>
      <c r="B54" s="5">
        <v>1</v>
      </c>
    </row>
    <row r="55" spans="1:2" x14ac:dyDescent="0.25">
      <c r="A55" s="4" t="s">
        <v>75</v>
      </c>
      <c r="B55" s="5">
        <v>1</v>
      </c>
    </row>
    <row r="56" spans="1:2" x14ac:dyDescent="0.25">
      <c r="A56" s="4" t="s">
        <v>76</v>
      </c>
      <c r="B56" s="5">
        <v>1</v>
      </c>
    </row>
    <row r="57" spans="1:2" x14ac:dyDescent="0.25">
      <c r="A57" s="4" t="s">
        <v>77</v>
      </c>
      <c r="B57" s="5">
        <v>1</v>
      </c>
    </row>
    <row r="58" spans="1:2" x14ac:dyDescent="0.25">
      <c r="A58" s="4" t="s">
        <v>78</v>
      </c>
      <c r="B58" s="5">
        <v>1</v>
      </c>
    </row>
    <row r="59" spans="1:2" x14ac:dyDescent="0.25">
      <c r="A59" s="4" t="s">
        <v>79</v>
      </c>
      <c r="B59" s="5">
        <v>1</v>
      </c>
    </row>
    <row r="60" spans="1:2" x14ac:dyDescent="0.25">
      <c r="A60" s="4" t="s">
        <v>80</v>
      </c>
      <c r="B60" s="5">
        <v>1</v>
      </c>
    </row>
    <row r="61" spans="1:2" x14ac:dyDescent="0.25">
      <c r="A61" s="4" t="s">
        <v>81</v>
      </c>
      <c r="B61" s="5">
        <v>1</v>
      </c>
    </row>
    <row r="62" spans="1:2" x14ac:dyDescent="0.25">
      <c r="A62" s="4" t="s">
        <v>82</v>
      </c>
      <c r="B62" s="5">
        <v>1</v>
      </c>
    </row>
    <row r="63" spans="1:2" x14ac:dyDescent="0.25">
      <c r="A63" s="4" t="s">
        <v>83</v>
      </c>
      <c r="B63" s="5">
        <v>1</v>
      </c>
    </row>
    <row r="64" spans="1:2" x14ac:dyDescent="0.25">
      <c r="A64" s="4" t="s">
        <v>84</v>
      </c>
      <c r="B64" s="5">
        <v>1</v>
      </c>
    </row>
    <row r="65" spans="1:2" x14ac:dyDescent="0.25">
      <c r="A65" s="4" t="s">
        <v>85</v>
      </c>
      <c r="B65" s="5">
        <v>1</v>
      </c>
    </row>
    <row r="66" spans="1:2" x14ac:dyDescent="0.25">
      <c r="A66" s="4" t="s">
        <v>86</v>
      </c>
      <c r="B66" s="5">
        <v>1</v>
      </c>
    </row>
    <row r="67" spans="1:2" x14ac:dyDescent="0.25">
      <c r="A67" s="4" t="s">
        <v>87</v>
      </c>
      <c r="B67" s="5">
        <v>1</v>
      </c>
    </row>
    <row r="68" spans="1:2" x14ac:dyDescent="0.25">
      <c r="A68" s="4" t="s">
        <v>88</v>
      </c>
      <c r="B68" s="5">
        <v>1</v>
      </c>
    </row>
    <row r="69" spans="1:2" x14ac:dyDescent="0.25">
      <c r="A69" s="4" t="s">
        <v>89</v>
      </c>
      <c r="B69" s="5">
        <v>1</v>
      </c>
    </row>
    <row r="70" spans="1:2" x14ac:dyDescent="0.25">
      <c r="A70" s="4" t="s">
        <v>90</v>
      </c>
      <c r="B70" s="5">
        <v>1</v>
      </c>
    </row>
    <row r="71" spans="1:2" x14ac:dyDescent="0.25">
      <c r="A71" s="4" t="s">
        <v>91</v>
      </c>
      <c r="B71" s="5">
        <v>1</v>
      </c>
    </row>
    <row r="72" spans="1:2" x14ac:dyDescent="0.25">
      <c r="A72" s="4" t="s">
        <v>92</v>
      </c>
      <c r="B72" s="5">
        <v>1</v>
      </c>
    </row>
    <row r="73" spans="1:2" x14ac:dyDescent="0.25">
      <c r="A73" s="4" t="s">
        <v>93</v>
      </c>
      <c r="B73" s="5">
        <v>1</v>
      </c>
    </row>
    <row r="74" spans="1:2" x14ac:dyDescent="0.25">
      <c r="A74" s="4" t="s">
        <v>94</v>
      </c>
      <c r="B74" s="5">
        <v>1</v>
      </c>
    </row>
    <row r="75" spans="1:2" x14ac:dyDescent="0.25">
      <c r="A75" s="4" t="s">
        <v>95</v>
      </c>
      <c r="B75" s="5">
        <v>1</v>
      </c>
    </row>
    <row r="76" spans="1:2" x14ac:dyDescent="0.25">
      <c r="A76" s="4" t="s">
        <v>96</v>
      </c>
      <c r="B76" s="5">
        <v>1</v>
      </c>
    </row>
    <row r="77" spans="1:2" x14ac:dyDescent="0.25">
      <c r="A77" s="4" t="s">
        <v>97</v>
      </c>
      <c r="B77" s="5">
        <v>1</v>
      </c>
    </row>
    <row r="78" spans="1:2" x14ac:dyDescent="0.25">
      <c r="A78" s="4" t="s">
        <v>98</v>
      </c>
      <c r="B78" s="5">
        <v>1</v>
      </c>
    </row>
    <row r="79" spans="1:2" x14ac:dyDescent="0.25">
      <c r="A79" s="4" t="s">
        <v>99</v>
      </c>
      <c r="B79" s="5">
        <v>1</v>
      </c>
    </row>
    <row r="80" spans="1:2" x14ac:dyDescent="0.25">
      <c r="A80" s="4" t="s">
        <v>100</v>
      </c>
      <c r="B80" s="5">
        <v>1</v>
      </c>
    </row>
    <row r="81" spans="1:2" x14ac:dyDescent="0.25">
      <c r="A81" s="4" t="s">
        <v>101</v>
      </c>
      <c r="B81" s="5">
        <v>1</v>
      </c>
    </row>
    <row r="82" spans="1:2" x14ac:dyDescent="0.25">
      <c r="A82" s="4" t="s">
        <v>102</v>
      </c>
      <c r="B82" s="5">
        <v>1</v>
      </c>
    </row>
    <row r="83" spans="1:2" x14ac:dyDescent="0.25">
      <c r="A83" s="4" t="s">
        <v>103</v>
      </c>
      <c r="B83" s="5">
        <v>1</v>
      </c>
    </row>
    <row r="84" spans="1:2" x14ac:dyDescent="0.25">
      <c r="A84" s="4" t="s">
        <v>104</v>
      </c>
      <c r="B84" s="5">
        <v>1</v>
      </c>
    </row>
    <row r="85" spans="1:2" x14ac:dyDescent="0.25">
      <c r="A85" s="4" t="s">
        <v>105</v>
      </c>
      <c r="B85" s="5">
        <v>1</v>
      </c>
    </row>
    <row r="86" spans="1:2" x14ac:dyDescent="0.25">
      <c r="A86" s="4" t="s">
        <v>106</v>
      </c>
      <c r="B86" s="5">
        <v>1</v>
      </c>
    </row>
    <row r="87" spans="1:2" x14ac:dyDescent="0.25">
      <c r="A87" s="4" t="s">
        <v>107</v>
      </c>
      <c r="B87" s="5">
        <v>1</v>
      </c>
    </row>
    <row r="88" spans="1:2" x14ac:dyDescent="0.25">
      <c r="A88" s="4" t="s">
        <v>108</v>
      </c>
      <c r="B88" s="5">
        <v>1</v>
      </c>
    </row>
    <row r="89" spans="1:2" x14ac:dyDescent="0.25">
      <c r="A89" s="4" t="s">
        <v>109</v>
      </c>
      <c r="B89" s="5">
        <v>1</v>
      </c>
    </row>
    <row r="90" spans="1:2" x14ac:dyDescent="0.25">
      <c r="A90" s="4" t="s">
        <v>110</v>
      </c>
      <c r="B90" s="5">
        <v>1</v>
      </c>
    </row>
    <row r="91" spans="1:2" x14ac:dyDescent="0.25">
      <c r="A91" s="4" t="s">
        <v>111</v>
      </c>
      <c r="B91" s="5">
        <v>1</v>
      </c>
    </row>
    <row r="92" spans="1:2" x14ac:dyDescent="0.25">
      <c r="A92" s="4" t="s">
        <v>112</v>
      </c>
      <c r="B92" s="5">
        <v>1</v>
      </c>
    </row>
    <row r="93" spans="1:2" x14ac:dyDescent="0.25">
      <c r="A93" s="4" t="s">
        <v>113</v>
      </c>
      <c r="B93" s="5">
        <v>1</v>
      </c>
    </row>
    <row r="94" spans="1:2" x14ac:dyDescent="0.25">
      <c r="A94" s="4" t="s">
        <v>114</v>
      </c>
      <c r="B94" s="5">
        <v>1</v>
      </c>
    </row>
    <row r="95" spans="1:2" x14ac:dyDescent="0.25">
      <c r="A95" s="4" t="s">
        <v>115</v>
      </c>
      <c r="B95" s="5">
        <v>1</v>
      </c>
    </row>
    <row r="96" spans="1:2" x14ac:dyDescent="0.25">
      <c r="A96" s="4" t="s">
        <v>116</v>
      </c>
      <c r="B96" s="5">
        <v>1</v>
      </c>
    </row>
    <row r="97" spans="1:2" x14ac:dyDescent="0.25">
      <c r="A97" s="4" t="s">
        <v>117</v>
      </c>
      <c r="B97" s="5">
        <v>1</v>
      </c>
    </row>
    <row r="98" spans="1:2" x14ac:dyDescent="0.25">
      <c r="A98" s="4" t="s">
        <v>118</v>
      </c>
      <c r="B98" s="5">
        <v>1</v>
      </c>
    </row>
    <row r="99" spans="1:2" x14ac:dyDescent="0.25">
      <c r="A99" s="4" t="s">
        <v>119</v>
      </c>
      <c r="B99" s="5">
        <v>1</v>
      </c>
    </row>
    <row r="100" spans="1:2" x14ac:dyDescent="0.25">
      <c r="A100" s="4" t="s">
        <v>120</v>
      </c>
      <c r="B100" s="5">
        <v>1</v>
      </c>
    </row>
    <row r="101" spans="1:2" x14ac:dyDescent="0.25">
      <c r="A101" s="4" t="s">
        <v>121</v>
      </c>
      <c r="B101" s="5">
        <v>1</v>
      </c>
    </row>
    <row r="102" spans="1:2" x14ac:dyDescent="0.25">
      <c r="A102" s="4" t="s">
        <v>122</v>
      </c>
      <c r="B102" s="5">
        <v>1</v>
      </c>
    </row>
    <row r="103" spans="1:2" x14ac:dyDescent="0.25">
      <c r="A103" s="4" t="s">
        <v>123</v>
      </c>
      <c r="B103" s="5">
        <v>1</v>
      </c>
    </row>
    <row r="104" spans="1:2" x14ac:dyDescent="0.25">
      <c r="A104" s="4" t="s">
        <v>150</v>
      </c>
      <c r="B104" s="5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CE71-CD61-4A76-9B28-D8C4DAE815F2}">
  <dimension ref="A3:B8"/>
  <sheetViews>
    <sheetView workbookViewId="0">
      <selection activeCell="D8" sqref="D8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3" t="s">
        <v>149</v>
      </c>
      <c r="B3" t="s">
        <v>152</v>
      </c>
    </row>
    <row r="4" spans="1:2" x14ac:dyDescent="0.25">
      <c r="A4" s="4" t="s">
        <v>24</v>
      </c>
      <c r="B4" s="5">
        <v>19</v>
      </c>
    </row>
    <row r="5" spans="1:2" x14ac:dyDescent="0.25">
      <c r="A5" s="4" t="s">
        <v>138</v>
      </c>
      <c r="B5" s="5">
        <v>20</v>
      </c>
    </row>
    <row r="6" spans="1:2" x14ac:dyDescent="0.25">
      <c r="A6" s="4" t="s">
        <v>12</v>
      </c>
      <c r="B6" s="5">
        <v>6</v>
      </c>
    </row>
    <row r="7" spans="1:2" x14ac:dyDescent="0.25">
      <c r="A7" s="4" t="s">
        <v>9</v>
      </c>
      <c r="B7" s="5">
        <v>55</v>
      </c>
    </row>
    <row r="8" spans="1:2" x14ac:dyDescent="0.25">
      <c r="A8" s="4" t="s">
        <v>150</v>
      </c>
      <c r="B8" s="5">
        <v>100</v>
      </c>
    </row>
  </sheetData>
  <conditionalFormatting sqref="A3">
    <cfRule type="top10" dxfId="0" priority="1" rank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E0DC-8DE0-4370-A0C1-5B6A6D46755F}">
  <dimension ref="A3:B7"/>
  <sheetViews>
    <sheetView tabSelected="1" workbookViewId="0">
      <selection activeCell="N24" sqref="N24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3" t="s">
        <v>149</v>
      </c>
      <c r="B3" t="s">
        <v>152</v>
      </c>
    </row>
    <row r="4" spans="1:2" x14ac:dyDescent="0.25">
      <c r="A4" s="4">
        <v>0</v>
      </c>
      <c r="B4" s="6">
        <v>0.18</v>
      </c>
    </row>
    <row r="5" spans="1:2" x14ac:dyDescent="0.25">
      <c r="A5" s="4" t="s">
        <v>130</v>
      </c>
      <c r="B5" s="6">
        <v>0.31</v>
      </c>
    </row>
    <row r="6" spans="1:2" x14ac:dyDescent="0.25">
      <c r="A6" s="4" t="s">
        <v>128</v>
      </c>
      <c r="B6" s="6">
        <v>0.51</v>
      </c>
    </row>
    <row r="7" spans="1:2" x14ac:dyDescent="0.25">
      <c r="A7" s="4" t="s">
        <v>150</v>
      </c>
      <c r="B7" s="6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selection activeCell="B11" sqref="B11"/>
    </sheetView>
  </sheetViews>
  <sheetFormatPr defaultRowHeight="15" x14ac:dyDescent="0.25"/>
  <cols>
    <col min="1" max="1" width="10.42578125" bestFit="1" customWidth="1"/>
    <col min="2" max="2" width="17.5703125" bestFit="1" customWidth="1"/>
    <col min="7" max="7" width="17.5703125" bestFit="1" customWidth="1"/>
    <col min="8" max="8" width="9.42578125" bestFit="1" customWidth="1"/>
    <col min="9" max="9" width="12.7109375" bestFit="1" customWidth="1"/>
    <col min="10" max="10" width="16.28515625" bestFit="1" customWidth="1"/>
    <col min="11" max="11" width="20.85546875" bestFit="1" customWidth="1"/>
    <col min="12" max="12" width="14.7109375" bestFit="1" customWidth="1"/>
    <col min="13" max="13" width="10.42578125" bestFit="1" customWidth="1"/>
    <col min="14" max="14" width="13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</v>
      </c>
      <c r="H1" s="2" t="s">
        <v>4</v>
      </c>
      <c r="I1" s="2" t="s">
        <v>144</v>
      </c>
      <c r="J1" s="2" t="s">
        <v>145</v>
      </c>
      <c r="K1" s="2" t="s">
        <v>146</v>
      </c>
      <c r="L1" s="2" t="s">
        <v>135</v>
      </c>
      <c r="M1" s="2" t="s">
        <v>147</v>
      </c>
      <c r="N1" s="2" t="s">
        <v>148</v>
      </c>
    </row>
    <row r="2" spans="1:14" x14ac:dyDescent="0.25">
      <c r="A2" t="s">
        <v>6</v>
      </c>
      <c r="B2" t="s">
        <v>7</v>
      </c>
      <c r="C2" t="s">
        <v>8</v>
      </c>
      <c r="D2">
        <v>4</v>
      </c>
      <c r="E2" t="s">
        <v>9</v>
      </c>
      <c r="F2" t="s">
        <v>143</v>
      </c>
      <c r="G2" t="str">
        <f>PROPER(TRIM(B2))</f>
        <v>Ali Musa</v>
      </c>
      <c r="H2" t="str">
        <f>PROPER(TRIM(E2))</f>
        <v>Samuel</v>
      </c>
      <c r="I2">
        <f>_xlfn.XLOOKUP(C2,Product_List!$A$2:$A$100,Product_List!$C$2:$C$100)</f>
        <v>15000</v>
      </c>
      <c r="J2" t="str">
        <f>_xlfn.XLOOKUP(C2,Product_List!$A$2:$A$100,Product_List!$D$2:$D$100)</f>
        <v>Accessories</v>
      </c>
      <c r="K2" t="str">
        <f>_xlfn.XLOOKUP(E2,Employee_Targets!$A$2:$A$100,Employee_Targets!$B$2:$B$100)</f>
        <v>Retail</v>
      </c>
      <c r="L2">
        <f>_xlfn.XLOOKUP(E2,Employee_Targets!$A$2:$A$100,Employee_Targets!$C$2:$C$100)</f>
        <v>500000</v>
      </c>
      <c r="M2">
        <f>D2* I2</f>
        <v>60000</v>
      </c>
      <c r="N2" t="str">
        <f>IF(M2&gt;=L2,"Achieved","Not Achieved")</f>
        <v>Not Achieved</v>
      </c>
    </row>
    <row r="3" spans="1:14" x14ac:dyDescent="0.25">
      <c r="A3" t="s">
        <v>10</v>
      </c>
      <c r="B3" t="s">
        <v>142</v>
      </c>
      <c r="C3" t="s">
        <v>8</v>
      </c>
      <c r="D3">
        <v>1</v>
      </c>
      <c r="E3" t="s">
        <v>12</v>
      </c>
      <c r="F3" t="s">
        <v>143</v>
      </c>
      <c r="G3" t="str">
        <f t="shared" ref="G3:G10" si="0">PROPER(TRIM(B3))</f>
        <v>Aminabello</v>
      </c>
      <c r="H3" t="str">
        <f t="shared" ref="H3:H66" si="1">PROPER(TRIM(E3))</f>
        <v>Joy</v>
      </c>
      <c r="I3">
        <f>_xlfn.XLOOKUP(C3,Product_List!$A$2:$A$100,Product_List!$C$2:$C$100)</f>
        <v>15000</v>
      </c>
      <c r="J3" t="str">
        <f>_xlfn.XLOOKUP(C3,Product_List!$A$2:$A$100,Product_List!$D$2:$D$100)</f>
        <v>Accessories</v>
      </c>
      <c r="K3" t="str">
        <f>_xlfn.XLOOKUP(E3,Employee_Targets!$A$2:$A$100,Employee_Targets!$B$2:$B$100)</f>
        <v>Corporate</v>
      </c>
      <c r="L3">
        <f>_xlfn.XLOOKUP(E3,Employee_Targets!$A$2:$A$100,Employee_Targets!$C$2:$C$100)</f>
        <v>350000</v>
      </c>
      <c r="M3">
        <f t="shared" ref="M3:M66" si="2">D3* I3</f>
        <v>15000</v>
      </c>
      <c r="N3" t="str">
        <f t="shared" ref="N3:N66" si="3">IF(M3&gt;=L3,"Achieved","Not Achieved")</f>
        <v>Not Achieved</v>
      </c>
    </row>
    <row r="4" spans="1:14" x14ac:dyDescent="0.25">
      <c r="A4" t="s">
        <v>13</v>
      </c>
      <c r="B4" t="s">
        <v>140</v>
      </c>
      <c r="C4" t="s">
        <v>14</v>
      </c>
      <c r="D4" t="s">
        <v>141</v>
      </c>
      <c r="E4" t="s">
        <v>9</v>
      </c>
      <c r="F4" t="s">
        <v>15</v>
      </c>
      <c r="G4" t="str">
        <f t="shared" si="0"/>
        <v>Uknown Customer</v>
      </c>
      <c r="H4" t="str">
        <f t="shared" si="1"/>
        <v>Samuel</v>
      </c>
      <c r="I4">
        <f>_xlfn.XLOOKUP(C4,Product_List!$A$2:$A$100,Product_List!$C$2:$C$100)</f>
        <v>90000</v>
      </c>
      <c r="J4" t="str">
        <f>_xlfn.XLOOKUP(C4,Product_List!$A$2:$A$100,Product_List!$D$2:$D$100)</f>
        <v>Electronics</v>
      </c>
      <c r="K4" t="str">
        <f>_xlfn.XLOOKUP(E4,Employee_Targets!$A$2:$A$100,Employee_Targets!$B$2:$B$100)</f>
        <v>Retail</v>
      </c>
      <c r="L4">
        <f>_xlfn.XLOOKUP(E4,Employee_Targets!$A$2:$A$100,Employee_Targets!$C$2:$C$100)</f>
        <v>500000</v>
      </c>
      <c r="M4" t="e">
        <f t="shared" si="2"/>
        <v>#VALUE!</v>
      </c>
      <c r="N4" t="e">
        <f t="shared" si="3"/>
        <v>#VALUE!</v>
      </c>
    </row>
    <row r="5" spans="1:14" x14ac:dyDescent="0.25">
      <c r="A5" t="s">
        <v>16</v>
      </c>
      <c r="B5" t="s">
        <v>7</v>
      </c>
      <c r="C5" t="s">
        <v>8</v>
      </c>
      <c r="D5">
        <v>1</v>
      </c>
      <c r="E5" t="s">
        <v>17</v>
      </c>
      <c r="F5" t="s">
        <v>143</v>
      </c>
      <c r="G5" t="str">
        <f t="shared" si="0"/>
        <v>Ali Musa</v>
      </c>
      <c r="H5" t="str">
        <f t="shared" si="1"/>
        <v>Henry</v>
      </c>
      <c r="I5">
        <f>_xlfn.XLOOKUP(C5,Product_List!$A$2:$A$100,Product_List!$C$2:$C$100)</f>
        <v>15000</v>
      </c>
      <c r="J5" t="str">
        <f>_xlfn.XLOOKUP(C5,Product_List!$A$2:$A$100,Product_List!$D$2:$D$100)</f>
        <v>Accessories</v>
      </c>
      <c r="K5" t="e">
        <f>_xlfn.XLOOKUP(E5,Employee_Targets!$A$2:$A$100,Employee_Targets!$B$2:$B$100)</f>
        <v>#N/A</v>
      </c>
      <c r="L5" t="e">
        <f>_xlfn.XLOOKUP(E5,Employee_Targets!$A$2:$A$100,Employee_Targets!$C$2:$C$100)</f>
        <v>#N/A</v>
      </c>
      <c r="M5">
        <f t="shared" si="2"/>
        <v>15000</v>
      </c>
      <c r="N5" t="e">
        <f t="shared" si="3"/>
        <v>#N/A</v>
      </c>
    </row>
    <row r="6" spans="1:14" x14ac:dyDescent="0.25">
      <c r="A6" t="s">
        <v>18</v>
      </c>
      <c r="B6" t="s">
        <v>19</v>
      </c>
      <c r="C6" t="s">
        <v>8</v>
      </c>
      <c r="D6">
        <v>1</v>
      </c>
      <c r="E6" t="s">
        <v>9</v>
      </c>
      <c r="F6" t="s">
        <v>143</v>
      </c>
      <c r="G6" t="str">
        <f t="shared" si="0"/>
        <v>Peter Yusuf</v>
      </c>
      <c r="H6" t="str">
        <f t="shared" si="1"/>
        <v>Samuel</v>
      </c>
      <c r="I6">
        <f>_xlfn.XLOOKUP(C6,Product_List!$A$2:$A$100,Product_List!$C$2:$C$100)</f>
        <v>15000</v>
      </c>
      <c r="J6" t="str">
        <f>_xlfn.XLOOKUP(C6,Product_List!$A$2:$A$100,Product_List!$D$2:$D$100)</f>
        <v>Accessories</v>
      </c>
      <c r="K6" t="str">
        <f>_xlfn.XLOOKUP(E6,Employee_Targets!$A$2:$A$100,Employee_Targets!$B$2:$B$100)</f>
        <v>Retail</v>
      </c>
      <c r="L6">
        <f>_xlfn.XLOOKUP(E6,Employee_Targets!$A$2:$A$100,Employee_Targets!$C$2:$C$100)</f>
        <v>500000</v>
      </c>
      <c r="M6">
        <f t="shared" si="2"/>
        <v>15000</v>
      </c>
      <c r="N6" t="str">
        <f t="shared" si="3"/>
        <v>Not Achieved</v>
      </c>
    </row>
    <row r="7" spans="1:14" x14ac:dyDescent="0.25">
      <c r="A7" t="s">
        <v>20</v>
      </c>
      <c r="B7" t="s">
        <v>140</v>
      </c>
      <c r="C7" t="s">
        <v>21</v>
      </c>
      <c r="D7">
        <v>1</v>
      </c>
      <c r="E7" t="s">
        <v>9</v>
      </c>
      <c r="F7" t="s">
        <v>15</v>
      </c>
      <c r="G7" t="str">
        <f t="shared" si="0"/>
        <v>Uknown Customer</v>
      </c>
      <c r="H7" t="str">
        <f t="shared" si="1"/>
        <v>Samuel</v>
      </c>
      <c r="I7">
        <f>_xlfn.XLOOKUP(C7,Product_List!$A$2:$A$100,Product_List!$C$2:$C$100)</f>
        <v>45000</v>
      </c>
      <c r="J7" t="str">
        <f>_xlfn.XLOOKUP(C7,Product_List!$A$2:$A$100,Product_List!$D$2:$D$100)</f>
        <v>Electronics</v>
      </c>
      <c r="K7" t="str">
        <f>_xlfn.XLOOKUP(E7,Employee_Targets!$A$2:$A$100,Employee_Targets!$B$2:$B$100)</f>
        <v>Retail</v>
      </c>
      <c r="L7">
        <f>_xlfn.XLOOKUP(E7,Employee_Targets!$A$2:$A$100,Employee_Targets!$C$2:$C$100)</f>
        <v>500000</v>
      </c>
      <c r="M7">
        <f t="shared" si="2"/>
        <v>45000</v>
      </c>
      <c r="N7" t="str">
        <f t="shared" si="3"/>
        <v>Not Achieved</v>
      </c>
    </row>
    <row r="8" spans="1:14" x14ac:dyDescent="0.25">
      <c r="A8" t="s">
        <v>22</v>
      </c>
      <c r="B8" t="s">
        <v>140</v>
      </c>
      <c r="C8" t="s">
        <v>14</v>
      </c>
      <c r="D8">
        <v>3</v>
      </c>
      <c r="E8" t="s">
        <v>9</v>
      </c>
      <c r="F8" t="s">
        <v>143</v>
      </c>
      <c r="G8" t="str">
        <f t="shared" si="0"/>
        <v>Uknown Customer</v>
      </c>
      <c r="H8" t="str">
        <f t="shared" si="1"/>
        <v>Samuel</v>
      </c>
      <c r="I8">
        <f>_xlfn.XLOOKUP(C8,Product_List!$A$2:$A$100,Product_List!$C$2:$C$100)</f>
        <v>90000</v>
      </c>
      <c r="J8" t="str">
        <f>_xlfn.XLOOKUP(C8,Product_List!$A$2:$A$100,Product_List!$D$2:$D$100)</f>
        <v>Electronics</v>
      </c>
      <c r="K8" t="str">
        <f>_xlfn.XLOOKUP(E8,Employee_Targets!$A$2:$A$100,Employee_Targets!$B$2:$B$100)</f>
        <v>Retail</v>
      </c>
      <c r="L8">
        <f>_xlfn.XLOOKUP(E8,Employee_Targets!$A$2:$A$100,Employee_Targets!$C$2:$C$100)</f>
        <v>500000</v>
      </c>
      <c r="M8">
        <f t="shared" si="2"/>
        <v>270000</v>
      </c>
      <c r="N8" t="str">
        <f t="shared" si="3"/>
        <v>Not Achieved</v>
      </c>
    </row>
    <row r="9" spans="1:14" x14ac:dyDescent="0.25">
      <c r="A9" t="s">
        <v>23</v>
      </c>
      <c r="B9" t="s">
        <v>140</v>
      </c>
      <c r="C9" t="s">
        <v>21</v>
      </c>
      <c r="D9" t="s">
        <v>141</v>
      </c>
      <c r="E9" t="s">
        <v>24</v>
      </c>
      <c r="F9" t="s">
        <v>143</v>
      </c>
      <c r="G9" t="str">
        <f t="shared" si="0"/>
        <v>Uknown Customer</v>
      </c>
      <c r="H9" t="str">
        <f t="shared" si="1"/>
        <v>Emma</v>
      </c>
      <c r="I9">
        <f>_xlfn.XLOOKUP(C9,Product_List!$A$2:$A$100,Product_List!$C$2:$C$100)</f>
        <v>45000</v>
      </c>
      <c r="J9" t="str">
        <f>_xlfn.XLOOKUP(C9,Product_List!$A$2:$A$100,Product_List!$D$2:$D$100)</f>
        <v>Electronics</v>
      </c>
      <c r="K9" t="str">
        <f>_xlfn.XLOOKUP(E9,Employee_Targets!$A$2:$A$100,Employee_Targets!$B$2:$B$100)</f>
        <v>Retail</v>
      </c>
      <c r="L9">
        <f>_xlfn.XLOOKUP(E9,Employee_Targets!$A$2:$A$100,Employee_Targets!$C$2:$C$100)</f>
        <v>200000</v>
      </c>
      <c r="M9" t="e">
        <f t="shared" si="2"/>
        <v>#VALUE!</v>
      </c>
      <c r="N9" t="e">
        <f t="shared" si="3"/>
        <v>#VALUE!</v>
      </c>
    </row>
    <row r="10" spans="1:14" x14ac:dyDescent="0.25">
      <c r="A10" t="s">
        <v>25</v>
      </c>
      <c r="B10" t="s">
        <v>7</v>
      </c>
      <c r="C10" t="s">
        <v>21</v>
      </c>
      <c r="D10">
        <v>1</v>
      </c>
      <c r="E10" t="s">
        <v>9</v>
      </c>
      <c r="F10" t="s">
        <v>143</v>
      </c>
      <c r="G10" t="str">
        <f t="shared" si="0"/>
        <v>Ali Musa</v>
      </c>
      <c r="H10" t="str">
        <f t="shared" si="1"/>
        <v>Samuel</v>
      </c>
      <c r="I10">
        <f>_xlfn.XLOOKUP(C10,Product_List!$A$2:$A$100,Product_List!$C$2:$C$100)</f>
        <v>45000</v>
      </c>
      <c r="J10" t="str">
        <f>_xlfn.XLOOKUP(C10,Product_List!$A$2:$A$100,Product_List!$D$2:$D$100)</f>
        <v>Electronics</v>
      </c>
      <c r="K10" t="str">
        <f>_xlfn.XLOOKUP(E10,Employee_Targets!$A$2:$A$100,Employee_Targets!$B$2:$B$100)</f>
        <v>Retail</v>
      </c>
      <c r="L10">
        <f>_xlfn.XLOOKUP(E10,Employee_Targets!$A$2:$A$100,Employee_Targets!$C$2:$C$100)</f>
        <v>500000</v>
      </c>
      <c r="M10">
        <f t="shared" si="2"/>
        <v>45000</v>
      </c>
      <c r="N10" t="str">
        <f t="shared" si="3"/>
        <v>Not Achieved</v>
      </c>
    </row>
    <row r="11" spans="1:14" x14ac:dyDescent="0.25">
      <c r="A11" t="s">
        <v>26</v>
      </c>
      <c r="B11" t="s">
        <v>27</v>
      </c>
      <c r="C11" t="s">
        <v>14</v>
      </c>
      <c r="D11">
        <v>4</v>
      </c>
      <c r="E11" t="s">
        <v>9</v>
      </c>
      <c r="F11" t="s">
        <v>28</v>
      </c>
      <c r="G11" t="str">
        <f>PROPER(TRIM(B11))</f>
        <v>Mary Okon</v>
      </c>
      <c r="H11" t="str">
        <f t="shared" si="1"/>
        <v>Samuel</v>
      </c>
      <c r="I11">
        <f>_xlfn.XLOOKUP(C11,Product_List!$A$2:$A$100,Product_List!$C$2:$C$100)</f>
        <v>90000</v>
      </c>
      <c r="J11" t="str">
        <f>_xlfn.XLOOKUP(C11,Product_List!$A$2:$A$100,Product_List!$D$2:$D$100)</f>
        <v>Electronics</v>
      </c>
      <c r="K11" t="str">
        <f>_xlfn.XLOOKUP(E11,Employee_Targets!$A$2:$A$100,Employee_Targets!$B$2:$B$100)</f>
        <v>Retail</v>
      </c>
      <c r="L11">
        <f>_xlfn.XLOOKUP(E11,Employee_Targets!$A$2:$A$100,Employee_Targets!$C$2:$C$100)</f>
        <v>500000</v>
      </c>
      <c r="M11">
        <f t="shared" si="2"/>
        <v>360000</v>
      </c>
      <c r="N11" t="str">
        <f t="shared" si="3"/>
        <v>Not Achieved</v>
      </c>
    </row>
    <row r="12" spans="1:14" x14ac:dyDescent="0.25">
      <c r="A12" t="s">
        <v>29</v>
      </c>
      <c r="B12" t="s">
        <v>19</v>
      </c>
      <c r="C12" t="s">
        <v>30</v>
      </c>
      <c r="D12">
        <v>5</v>
      </c>
      <c r="E12" t="s">
        <v>24</v>
      </c>
      <c r="F12" t="s">
        <v>28</v>
      </c>
      <c r="G12" t="str">
        <f>PROPER(TRIM(B12))</f>
        <v>Peter Yusuf</v>
      </c>
      <c r="H12" t="str">
        <f t="shared" si="1"/>
        <v>Emma</v>
      </c>
      <c r="I12">
        <f>_xlfn.XLOOKUP(C12,Product_List!$A$2:$A$100,Product_List!$C$2:$C$100)</f>
        <v>350000</v>
      </c>
      <c r="J12" t="str">
        <f>_xlfn.XLOOKUP(C12,Product_List!$A$2:$A$100,Product_List!$D$2:$D$100)</f>
        <v>Electronics</v>
      </c>
      <c r="K12" t="str">
        <f>_xlfn.XLOOKUP(E12,Employee_Targets!$A$2:$A$100,Employee_Targets!$B$2:$B$100)</f>
        <v>Retail</v>
      </c>
      <c r="L12">
        <f>_xlfn.XLOOKUP(E12,Employee_Targets!$A$2:$A$100,Employee_Targets!$C$2:$C$100)</f>
        <v>200000</v>
      </c>
      <c r="M12">
        <f t="shared" si="2"/>
        <v>1750000</v>
      </c>
      <c r="N12" t="str">
        <f t="shared" si="3"/>
        <v>Achieved</v>
      </c>
    </row>
    <row r="13" spans="1:14" x14ac:dyDescent="0.25">
      <c r="A13" t="s">
        <v>31</v>
      </c>
      <c r="B13" t="s">
        <v>7</v>
      </c>
      <c r="C13" t="s">
        <v>21</v>
      </c>
      <c r="D13">
        <v>1</v>
      </c>
      <c r="E13" t="s">
        <v>24</v>
      </c>
      <c r="F13" t="s">
        <v>28</v>
      </c>
      <c r="G13" t="str">
        <f>PROPER(TRIM(B13))</f>
        <v>Ali Musa</v>
      </c>
      <c r="H13" t="str">
        <f t="shared" si="1"/>
        <v>Emma</v>
      </c>
      <c r="I13">
        <f>_xlfn.XLOOKUP(C13,Product_List!$A$2:$A$100,Product_List!$C$2:$C$100)</f>
        <v>45000</v>
      </c>
      <c r="J13" t="str">
        <f>_xlfn.XLOOKUP(C13,Product_List!$A$2:$A$100,Product_List!$D$2:$D$100)</f>
        <v>Electronics</v>
      </c>
      <c r="K13" t="str">
        <f>_xlfn.XLOOKUP(E13,Employee_Targets!$A$2:$A$100,Employee_Targets!$B$2:$B$100)</f>
        <v>Retail</v>
      </c>
      <c r="L13">
        <f>_xlfn.XLOOKUP(E13,Employee_Targets!$A$2:$A$100,Employee_Targets!$C$2:$C$100)</f>
        <v>200000</v>
      </c>
      <c r="M13">
        <f t="shared" si="2"/>
        <v>45000</v>
      </c>
      <c r="N13" t="str">
        <f t="shared" si="3"/>
        <v>Not Achieved</v>
      </c>
    </row>
    <row r="14" spans="1:14" x14ac:dyDescent="0.25">
      <c r="A14" t="s">
        <v>32</v>
      </c>
      <c r="B14" t="s">
        <v>19</v>
      </c>
      <c r="D14">
        <v>3</v>
      </c>
      <c r="E14" t="s">
        <v>24</v>
      </c>
      <c r="F14" t="s">
        <v>15</v>
      </c>
      <c r="G14" t="str">
        <f>PROPER(TRIM(B14))</f>
        <v>Peter Yusuf</v>
      </c>
      <c r="H14" t="str">
        <f t="shared" si="1"/>
        <v>Emma</v>
      </c>
      <c r="I14">
        <f>_xlfn.XLOOKUP(C14,Product_List!$A$2:$A$100,Product_List!$C$2:$C$100)</f>
        <v>0</v>
      </c>
      <c r="J14">
        <f>_xlfn.XLOOKUP(C14,Product_List!$A$2:$A$100,Product_List!$D$2:$D$100)</f>
        <v>0</v>
      </c>
      <c r="K14" t="str">
        <f>_xlfn.XLOOKUP(E14,Employee_Targets!$A$2:$A$100,Employee_Targets!$B$2:$B$100)</f>
        <v>Retail</v>
      </c>
      <c r="L14">
        <f>_xlfn.XLOOKUP(E14,Employee_Targets!$A$2:$A$100,Employee_Targets!$C$2:$C$100)</f>
        <v>200000</v>
      </c>
      <c r="M14">
        <f t="shared" si="2"/>
        <v>0</v>
      </c>
      <c r="N14" t="str">
        <f t="shared" si="3"/>
        <v>Not Achieved</v>
      </c>
    </row>
    <row r="15" spans="1:14" x14ac:dyDescent="0.25">
      <c r="A15" t="s">
        <v>33</v>
      </c>
      <c r="B15" t="s">
        <v>19</v>
      </c>
      <c r="D15" t="s">
        <v>141</v>
      </c>
      <c r="E15" t="s">
        <v>9</v>
      </c>
      <c r="F15" t="s">
        <v>34</v>
      </c>
      <c r="G15" t="str">
        <f>PROPER(TRIM(B15))</f>
        <v>Peter Yusuf</v>
      </c>
      <c r="H15" t="str">
        <f t="shared" si="1"/>
        <v>Samuel</v>
      </c>
      <c r="I15">
        <f>_xlfn.XLOOKUP(C15,Product_List!$A$2:$A$100,Product_List!$C$2:$C$100)</f>
        <v>0</v>
      </c>
      <c r="J15">
        <f>_xlfn.XLOOKUP(C15,Product_List!$A$2:$A$100,Product_List!$D$2:$D$100)</f>
        <v>0</v>
      </c>
      <c r="K15" t="str">
        <f>_xlfn.XLOOKUP(E15,Employee_Targets!$A$2:$A$100,Employee_Targets!$B$2:$B$100)</f>
        <v>Retail</v>
      </c>
      <c r="L15">
        <f>_xlfn.XLOOKUP(E15,Employee_Targets!$A$2:$A$100,Employee_Targets!$C$2:$C$100)</f>
        <v>500000</v>
      </c>
      <c r="M15" t="e">
        <f t="shared" si="2"/>
        <v>#VALUE!</v>
      </c>
      <c r="N15" t="e">
        <f t="shared" si="3"/>
        <v>#VALUE!</v>
      </c>
    </row>
    <row r="16" spans="1:14" x14ac:dyDescent="0.25">
      <c r="A16" t="s">
        <v>35</v>
      </c>
      <c r="B16" t="s">
        <v>140</v>
      </c>
      <c r="C16" t="s">
        <v>8</v>
      </c>
      <c r="D16">
        <v>3</v>
      </c>
      <c r="E16" t="s">
        <v>17</v>
      </c>
      <c r="F16" t="s">
        <v>143</v>
      </c>
      <c r="G16" t="str">
        <f>PROPER(TRIM(B16))</f>
        <v>Uknown Customer</v>
      </c>
      <c r="H16" t="str">
        <f t="shared" si="1"/>
        <v>Henry</v>
      </c>
      <c r="I16">
        <f>_xlfn.XLOOKUP(C16,Product_List!$A$2:$A$100,Product_List!$C$2:$C$100)</f>
        <v>15000</v>
      </c>
      <c r="J16" t="str">
        <f>_xlfn.XLOOKUP(C16,Product_List!$A$2:$A$100,Product_List!$D$2:$D$100)</f>
        <v>Accessories</v>
      </c>
      <c r="K16" t="e">
        <f>_xlfn.XLOOKUP(E16,Employee_Targets!$A$2:$A$100,Employee_Targets!$B$2:$B$100)</f>
        <v>#N/A</v>
      </c>
      <c r="L16" t="e">
        <f>_xlfn.XLOOKUP(E16,Employee_Targets!$A$2:$A$100,Employee_Targets!$C$2:$C$100)</f>
        <v>#N/A</v>
      </c>
      <c r="M16">
        <f t="shared" si="2"/>
        <v>45000</v>
      </c>
      <c r="N16" t="e">
        <f t="shared" si="3"/>
        <v>#N/A</v>
      </c>
    </row>
    <row r="17" spans="1:14" x14ac:dyDescent="0.25">
      <c r="A17" t="s">
        <v>36</v>
      </c>
      <c r="B17" t="s">
        <v>140</v>
      </c>
      <c r="D17">
        <v>1</v>
      </c>
      <c r="E17" t="s">
        <v>9</v>
      </c>
      <c r="F17" t="s">
        <v>143</v>
      </c>
      <c r="G17" t="str">
        <f>PROPER(TRIM(B17))</f>
        <v>Uknown Customer</v>
      </c>
      <c r="H17" t="str">
        <f t="shared" si="1"/>
        <v>Samuel</v>
      </c>
      <c r="I17">
        <f>_xlfn.XLOOKUP(C17,Product_List!$A$2:$A$100,Product_List!$C$2:$C$100)</f>
        <v>0</v>
      </c>
      <c r="J17">
        <f>_xlfn.XLOOKUP(C17,Product_List!$A$2:$A$100,Product_List!$D$2:$D$100)</f>
        <v>0</v>
      </c>
      <c r="K17" t="str">
        <f>_xlfn.XLOOKUP(E17,Employee_Targets!$A$2:$A$100,Employee_Targets!$B$2:$B$100)</f>
        <v>Retail</v>
      </c>
      <c r="L17">
        <f>_xlfn.XLOOKUP(E17,Employee_Targets!$A$2:$A$100,Employee_Targets!$C$2:$C$100)</f>
        <v>500000</v>
      </c>
      <c r="M17">
        <f t="shared" si="2"/>
        <v>0</v>
      </c>
      <c r="N17" t="str">
        <f t="shared" si="3"/>
        <v>Not Achieved</v>
      </c>
    </row>
    <row r="18" spans="1:14" x14ac:dyDescent="0.25">
      <c r="A18" t="s">
        <v>37</v>
      </c>
      <c r="B18" t="s">
        <v>11</v>
      </c>
      <c r="C18" t="s">
        <v>8</v>
      </c>
      <c r="D18" t="s">
        <v>141</v>
      </c>
      <c r="E18" t="s">
        <v>9</v>
      </c>
      <c r="F18" t="s">
        <v>15</v>
      </c>
      <c r="G18" t="str">
        <f>PROPER(TRIM(B18))</f>
        <v>Amina Bello</v>
      </c>
      <c r="H18" t="str">
        <f t="shared" si="1"/>
        <v>Samuel</v>
      </c>
      <c r="I18">
        <f>_xlfn.XLOOKUP(C18,Product_List!$A$2:$A$100,Product_List!$C$2:$C$100)</f>
        <v>15000</v>
      </c>
      <c r="J18" t="str">
        <f>_xlfn.XLOOKUP(C18,Product_List!$A$2:$A$100,Product_List!$D$2:$D$100)</f>
        <v>Accessories</v>
      </c>
      <c r="K18" t="str">
        <f>_xlfn.XLOOKUP(E18,Employee_Targets!$A$2:$A$100,Employee_Targets!$B$2:$B$100)</f>
        <v>Retail</v>
      </c>
      <c r="L18">
        <f>_xlfn.XLOOKUP(E18,Employee_Targets!$A$2:$A$100,Employee_Targets!$C$2:$C$100)</f>
        <v>500000</v>
      </c>
      <c r="M18" t="e">
        <f t="shared" si="2"/>
        <v>#VALUE!</v>
      </c>
      <c r="N18" t="e">
        <f t="shared" si="3"/>
        <v>#VALUE!</v>
      </c>
    </row>
    <row r="19" spans="1:14" x14ac:dyDescent="0.25">
      <c r="A19" t="s">
        <v>38</v>
      </c>
      <c r="B19" t="s">
        <v>140</v>
      </c>
      <c r="C19" t="s">
        <v>30</v>
      </c>
      <c r="D19">
        <v>5</v>
      </c>
      <c r="E19" t="s">
        <v>24</v>
      </c>
      <c r="F19" t="s">
        <v>143</v>
      </c>
      <c r="G19" t="str">
        <f>PROPER(TRIM(B19))</f>
        <v>Uknown Customer</v>
      </c>
      <c r="H19" t="str">
        <f t="shared" si="1"/>
        <v>Emma</v>
      </c>
      <c r="I19">
        <f>_xlfn.XLOOKUP(C19,Product_List!$A$2:$A$100,Product_List!$C$2:$C$100)</f>
        <v>350000</v>
      </c>
      <c r="J19" t="str">
        <f>_xlfn.XLOOKUP(C19,Product_List!$A$2:$A$100,Product_List!$D$2:$D$100)</f>
        <v>Electronics</v>
      </c>
      <c r="K19" t="str">
        <f>_xlfn.XLOOKUP(E19,Employee_Targets!$A$2:$A$100,Employee_Targets!$B$2:$B$100)</f>
        <v>Retail</v>
      </c>
      <c r="L19">
        <f>_xlfn.XLOOKUP(E19,Employee_Targets!$A$2:$A$100,Employee_Targets!$C$2:$C$100)</f>
        <v>200000</v>
      </c>
      <c r="M19">
        <f t="shared" si="2"/>
        <v>1750000</v>
      </c>
      <c r="N19" t="str">
        <f t="shared" si="3"/>
        <v>Achieved</v>
      </c>
    </row>
    <row r="20" spans="1:14" x14ac:dyDescent="0.25">
      <c r="A20" t="s">
        <v>39</v>
      </c>
      <c r="B20" t="s">
        <v>140</v>
      </c>
      <c r="C20" t="s">
        <v>14</v>
      </c>
      <c r="D20">
        <v>1</v>
      </c>
      <c r="E20" t="s">
        <v>9</v>
      </c>
      <c r="F20" t="s">
        <v>28</v>
      </c>
      <c r="G20" t="str">
        <f>PROPER(TRIM(B20))</f>
        <v>Uknown Customer</v>
      </c>
      <c r="H20" t="str">
        <f t="shared" si="1"/>
        <v>Samuel</v>
      </c>
      <c r="I20">
        <f>_xlfn.XLOOKUP(C20,Product_List!$A$2:$A$100,Product_List!$C$2:$C$100)</f>
        <v>90000</v>
      </c>
      <c r="J20" t="str">
        <f>_xlfn.XLOOKUP(C20,Product_List!$A$2:$A$100,Product_List!$D$2:$D$100)</f>
        <v>Electronics</v>
      </c>
      <c r="K20" t="str">
        <f>_xlfn.XLOOKUP(E20,Employee_Targets!$A$2:$A$100,Employee_Targets!$B$2:$B$100)</f>
        <v>Retail</v>
      </c>
      <c r="L20">
        <f>_xlfn.XLOOKUP(E20,Employee_Targets!$A$2:$A$100,Employee_Targets!$C$2:$C$100)</f>
        <v>500000</v>
      </c>
      <c r="M20">
        <f t="shared" si="2"/>
        <v>90000</v>
      </c>
      <c r="N20" t="str">
        <f t="shared" si="3"/>
        <v>Not Achieved</v>
      </c>
    </row>
    <row r="21" spans="1:14" x14ac:dyDescent="0.25">
      <c r="A21" t="s">
        <v>40</v>
      </c>
      <c r="B21" t="s">
        <v>19</v>
      </c>
      <c r="C21" t="s">
        <v>14</v>
      </c>
      <c r="D21">
        <v>3</v>
      </c>
      <c r="E21" t="s">
        <v>9</v>
      </c>
      <c r="F21" t="s">
        <v>34</v>
      </c>
      <c r="G21" t="str">
        <f>PROPER(TRIM(B21))</f>
        <v>Peter Yusuf</v>
      </c>
      <c r="H21" t="str">
        <f t="shared" si="1"/>
        <v>Samuel</v>
      </c>
      <c r="I21">
        <f>_xlfn.XLOOKUP(C21,Product_List!$A$2:$A$100,Product_List!$C$2:$C$100)</f>
        <v>90000</v>
      </c>
      <c r="J21" t="str">
        <f>_xlfn.XLOOKUP(C21,Product_List!$A$2:$A$100,Product_List!$D$2:$D$100)</f>
        <v>Electronics</v>
      </c>
      <c r="K21" t="str">
        <f>_xlfn.XLOOKUP(E21,Employee_Targets!$A$2:$A$100,Employee_Targets!$B$2:$B$100)</f>
        <v>Retail</v>
      </c>
      <c r="L21">
        <f>_xlfn.XLOOKUP(E21,Employee_Targets!$A$2:$A$100,Employee_Targets!$C$2:$C$100)</f>
        <v>500000</v>
      </c>
      <c r="M21">
        <f t="shared" si="2"/>
        <v>270000</v>
      </c>
      <c r="N21" t="str">
        <f t="shared" si="3"/>
        <v>Not Achieved</v>
      </c>
    </row>
    <row r="22" spans="1:14" x14ac:dyDescent="0.25">
      <c r="A22" t="s">
        <v>41</v>
      </c>
      <c r="B22" t="s">
        <v>42</v>
      </c>
      <c r="C22" t="s">
        <v>14</v>
      </c>
      <c r="D22">
        <v>2</v>
      </c>
      <c r="E22" t="s">
        <v>17</v>
      </c>
      <c r="F22" t="s">
        <v>143</v>
      </c>
      <c r="G22" t="str">
        <f>PROPER(TRIM(B22))</f>
        <v>Grace</v>
      </c>
      <c r="H22" t="str">
        <f t="shared" si="1"/>
        <v>Henry</v>
      </c>
      <c r="I22">
        <f>_xlfn.XLOOKUP(C22,Product_List!$A$2:$A$100,Product_List!$C$2:$C$100)</f>
        <v>90000</v>
      </c>
      <c r="J22" t="str">
        <f>_xlfn.XLOOKUP(C22,Product_List!$A$2:$A$100,Product_List!$D$2:$D$100)</f>
        <v>Electronics</v>
      </c>
      <c r="K22" t="e">
        <f>_xlfn.XLOOKUP(E22,Employee_Targets!$A$2:$A$100,Employee_Targets!$B$2:$B$100)</f>
        <v>#N/A</v>
      </c>
      <c r="L22" t="e">
        <f>_xlfn.XLOOKUP(E22,Employee_Targets!$A$2:$A$100,Employee_Targets!$C$2:$C$100)</f>
        <v>#N/A</v>
      </c>
      <c r="M22">
        <f t="shared" si="2"/>
        <v>180000</v>
      </c>
      <c r="N22" t="e">
        <f t="shared" si="3"/>
        <v>#N/A</v>
      </c>
    </row>
    <row r="23" spans="1:14" x14ac:dyDescent="0.25">
      <c r="A23" t="s">
        <v>43</v>
      </c>
      <c r="B23" t="s">
        <v>140</v>
      </c>
      <c r="D23">
        <v>4</v>
      </c>
      <c r="E23" t="s">
        <v>9</v>
      </c>
      <c r="F23" t="s">
        <v>143</v>
      </c>
      <c r="G23" t="str">
        <f>PROPER(TRIM(B23))</f>
        <v>Uknown Customer</v>
      </c>
      <c r="H23" t="str">
        <f t="shared" si="1"/>
        <v>Samuel</v>
      </c>
      <c r="I23">
        <f>_xlfn.XLOOKUP(C23,Product_List!$A$2:$A$100,Product_List!$C$2:$C$100)</f>
        <v>0</v>
      </c>
      <c r="J23">
        <f>_xlfn.XLOOKUP(C23,Product_List!$A$2:$A$100,Product_List!$D$2:$D$100)</f>
        <v>0</v>
      </c>
      <c r="K23" t="str">
        <f>_xlfn.XLOOKUP(E23,Employee_Targets!$A$2:$A$100,Employee_Targets!$B$2:$B$100)</f>
        <v>Retail</v>
      </c>
      <c r="L23">
        <f>_xlfn.XLOOKUP(E23,Employee_Targets!$A$2:$A$100,Employee_Targets!$C$2:$C$100)</f>
        <v>500000</v>
      </c>
      <c r="M23">
        <f t="shared" si="2"/>
        <v>0</v>
      </c>
      <c r="N23" t="str">
        <f t="shared" si="3"/>
        <v>Not Achieved</v>
      </c>
    </row>
    <row r="24" spans="1:14" x14ac:dyDescent="0.25">
      <c r="A24" t="s">
        <v>44</v>
      </c>
      <c r="B24" t="s">
        <v>27</v>
      </c>
      <c r="C24" t="s">
        <v>30</v>
      </c>
      <c r="D24">
        <v>3</v>
      </c>
      <c r="E24" t="s">
        <v>17</v>
      </c>
      <c r="F24" t="s">
        <v>28</v>
      </c>
      <c r="G24" t="str">
        <f>PROPER(TRIM(B24))</f>
        <v>Mary Okon</v>
      </c>
      <c r="H24" t="str">
        <f t="shared" si="1"/>
        <v>Henry</v>
      </c>
      <c r="I24">
        <f>_xlfn.XLOOKUP(C24,Product_List!$A$2:$A$100,Product_List!$C$2:$C$100)</f>
        <v>350000</v>
      </c>
      <c r="J24" t="str">
        <f>_xlfn.XLOOKUP(C24,Product_List!$A$2:$A$100,Product_List!$D$2:$D$100)</f>
        <v>Electronics</v>
      </c>
      <c r="K24" t="e">
        <f>_xlfn.XLOOKUP(E24,Employee_Targets!$A$2:$A$100,Employee_Targets!$B$2:$B$100)</f>
        <v>#N/A</v>
      </c>
      <c r="L24" t="e">
        <f>_xlfn.XLOOKUP(E24,Employee_Targets!$A$2:$A$100,Employee_Targets!$C$2:$C$100)</f>
        <v>#N/A</v>
      </c>
      <c r="M24">
        <f t="shared" si="2"/>
        <v>1050000</v>
      </c>
      <c r="N24" t="e">
        <f t="shared" si="3"/>
        <v>#N/A</v>
      </c>
    </row>
    <row r="25" spans="1:14" x14ac:dyDescent="0.25">
      <c r="A25" t="s">
        <v>45</v>
      </c>
      <c r="B25" t="s">
        <v>140</v>
      </c>
      <c r="D25" t="s">
        <v>141</v>
      </c>
      <c r="E25" t="s">
        <v>24</v>
      </c>
      <c r="F25" t="s">
        <v>143</v>
      </c>
      <c r="G25" t="str">
        <f>PROPER(TRIM(B25))</f>
        <v>Uknown Customer</v>
      </c>
      <c r="H25" t="str">
        <f t="shared" si="1"/>
        <v>Emma</v>
      </c>
      <c r="I25">
        <f>_xlfn.XLOOKUP(C25,Product_List!$A$2:$A$100,Product_List!$C$2:$C$100)</f>
        <v>0</v>
      </c>
      <c r="J25">
        <f>_xlfn.XLOOKUP(C25,Product_List!$A$2:$A$100,Product_List!$D$2:$D$100)</f>
        <v>0</v>
      </c>
      <c r="K25" t="str">
        <f>_xlfn.XLOOKUP(E25,Employee_Targets!$A$2:$A$100,Employee_Targets!$B$2:$B$100)</f>
        <v>Retail</v>
      </c>
      <c r="L25">
        <f>_xlfn.XLOOKUP(E25,Employee_Targets!$A$2:$A$100,Employee_Targets!$C$2:$C$100)</f>
        <v>200000</v>
      </c>
      <c r="M25" t="e">
        <f t="shared" si="2"/>
        <v>#VALUE!</v>
      </c>
      <c r="N25" t="e">
        <f t="shared" si="3"/>
        <v>#VALUE!</v>
      </c>
    </row>
    <row r="26" spans="1:14" x14ac:dyDescent="0.25">
      <c r="A26" t="s">
        <v>46</v>
      </c>
      <c r="B26" t="s">
        <v>11</v>
      </c>
      <c r="D26">
        <v>1</v>
      </c>
      <c r="E26" t="s">
        <v>17</v>
      </c>
      <c r="F26" t="s">
        <v>34</v>
      </c>
      <c r="G26" t="str">
        <f>PROPER(TRIM(B26))</f>
        <v>Amina Bello</v>
      </c>
      <c r="H26" t="str">
        <f t="shared" si="1"/>
        <v>Henry</v>
      </c>
      <c r="I26">
        <f>_xlfn.XLOOKUP(C26,Product_List!$A$2:$A$100,Product_List!$C$2:$C$100)</f>
        <v>0</v>
      </c>
      <c r="J26">
        <f>_xlfn.XLOOKUP(C26,Product_List!$A$2:$A$100,Product_List!$D$2:$D$100)</f>
        <v>0</v>
      </c>
      <c r="K26" t="e">
        <f>_xlfn.XLOOKUP(E26,Employee_Targets!$A$2:$A$100,Employee_Targets!$B$2:$B$100)</f>
        <v>#N/A</v>
      </c>
      <c r="L26" t="e">
        <f>_xlfn.XLOOKUP(E26,Employee_Targets!$A$2:$A$100,Employee_Targets!$C$2:$C$100)</f>
        <v>#N/A</v>
      </c>
      <c r="M26">
        <f t="shared" si="2"/>
        <v>0</v>
      </c>
      <c r="N26" t="e">
        <f t="shared" si="3"/>
        <v>#N/A</v>
      </c>
    </row>
    <row r="27" spans="1:14" x14ac:dyDescent="0.25">
      <c r="A27" t="s">
        <v>47</v>
      </c>
      <c r="B27" t="s">
        <v>42</v>
      </c>
      <c r="C27" t="s">
        <v>30</v>
      </c>
      <c r="D27">
        <v>4</v>
      </c>
      <c r="E27" t="s">
        <v>9</v>
      </c>
      <c r="F27" t="s">
        <v>143</v>
      </c>
      <c r="G27" t="str">
        <f>PROPER(TRIM(B27))</f>
        <v>Grace</v>
      </c>
      <c r="H27" t="str">
        <f t="shared" si="1"/>
        <v>Samuel</v>
      </c>
      <c r="I27">
        <f>_xlfn.XLOOKUP(C27,Product_List!$A$2:$A$100,Product_List!$C$2:$C$100)</f>
        <v>350000</v>
      </c>
      <c r="J27" t="str">
        <f>_xlfn.XLOOKUP(C27,Product_List!$A$2:$A$100,Product_List!$D$2:$D$100)</f>
        <v>Electronics</v>
      </c>
      <c r="K27" t="str">
        <f>_xlfn.XLOOKUP(E27,Employee_Targets!$A$2:$A$100,Employee_Targets!$B$2:$B$100)</f>
        <v>Retail</v>
      </c>
      <c r="L27">
        <f>_xlfn.XLOOKUP(E27,Employee_Targets!$A$2:$A$100,Employee_Targets!$C$2:$C$100)</f>
        <v>500000</v>
      </c>
      <c r="M27">
        <f t="shared" si="2"/>
        <v>1400000</v>
      </c>
      <c r="N27" t="str">
        <f t="shared" si="3"/>
        <v>Achieved</v>
      </c>
    </row>
    <row r="28" spans="1:14" x14ac:dyDescent="0.25">
      <c r="A28" t="s">
        <v>48</v>
      </c>
      <c r="B28" t="s">
        <v>42</v>
      </c>
      <c r="C28" t="s">
        <v>30</v>
      </c>
      <c r="D28">
        <v>1</v>
      </c>
      <c r="E28" t="s">
        <v>24</v>
      </c>
      <c r="F28" t="s">
        <v>28</v>
      </c>
      <c r="G28" t="str">
        <f>PROPER(TRIM(B28))</f>
        <v>Grace</v>
      </c>
      <c r="H28" t="str">
        <f t="shared" si="1"/>
        <v>Emma</v>
      </c>
      <c r="I28">
        <f>_xlfn.XLOOKUP(C28,Product_List!$A$2:$A$100,Product_List!$C$2:$C$100)</f>
        <v>350000</v>
      </c>
      <c r="J28" t="str">
        <f>_xlfn.XLOOKUP(C28,Product_List!$A$2:$A$100,Product_List!$D$2:$D$100)</f>
        <v>Electronics</v>
      </c>
      <c r="K28" t="str">
        <f>_xlfn.XLOOKUP(E28,Employee_Targets!$A$2:$A$100,Employee_Targets!$B$2:$B$100)</f>
        <v>Retail</v>
      </c>
      <c r="L28">
        <f>_xlfn.XLOOKUP(E28,Employee_Targets!$A$2:$A$100,Employee_Targets!$C$2:$C$100)</f>
        <v>200000</v>
      </c>
      <c r="M28">
        <f t="shared" si="2"/>
        <v>350000</v>
      </c>
      <c r="N28" t="str">
        <f t="shared" si="3"/>
        <v>Achieved</v>
      </c>
    </row>
    <row r="29" spans="1:14" x14ac:dyDescent="0.25">
      <c r="A29" t="s">
        <v>49</v>
      </c>
      <c r="B29" t="s">
        <v>27</v>
      </c>
      <c r="C29" t="s">
        <v>30</v>
      </c>
      <c r="D29" t="s">
        <v>141</v>
      </c>
      <c r="E29" t="s">
        <v>9</v>
      </c>
      <c r="F29" t="s">
        <v>143</v>
      </c>
      <c r="G29" t="str">
        <f>PROPER(TRIM(B29))</f>
        <v>Mary Okon</v>
      </c>
      <c r="H29" t="str">
        <f t="shared" si="1"/>
        <v>Samuel</v>
      </c>
      <c r="I29">
        <f>_xlfn.XLOOKUP(C29,Product_List!$A$2:$A$100,Product_List!$C$2:$C$100)</f>
        <v>350000</v>
      </c>
      <c r="J29" t="str">
        <f>_xlfn.XLOOKUP(C29,Product_List!$A$2:$A$100,Product_List!$D$2:$D$100)</f>
        <v>Electronics</v>
      </c>
      <c r="K29" t="str">
        <f>_xlfn.XLOOKUP(E29,Employee_Targets!$A$2:$A$100,Employee_Targets!$B$2:$B$100)</f>
        <v>Retail</v>
      </c>
      <c r="L29">
        <f>_xlfn.XLOOKUP(E29,Employee_Targets!$A$2:$A$100,Employee_Targets!$C$2:$C$100)</f>
        <v>500000</v>
      </c>
      <c r="M29" t="e">
        <f t="shared" si="2"/>
        <v>#VALUE!</v>
      </c>
      <c r="N29" t="e">
        <f t="shared" si="3"/>
        <v>#VALUE!</v>
      </c>
    </row>
    <row r="30" spans="1:14" x14ac:dyDescent="0.25">
      <c r="A30" t="s">
        <v>50</v>
      </c>
      <c r="B30" t="s">
        <v>140</v>
      </c>
      <c r="C30" t="s">
        <v>30</v>
      </c>
      <c r="D30">
        <v>1</v>
      </c>
      <c r="E30" t="s">
        <v>9</v>
      </c>
      <c r="F30" t="s">
        <v>15</v>
      </c>
      <c r="G30" t="str">
        <f>PROPER(TRIM(B30))</f>
        <v>Uknown Customer</v>
      </c>
      <c r="H30" t="str">
        <f t="shared" si="1"/>
        <v>Samuel</v>
      </c>
      <c r="I30">
        <f>_xlfn.XLOOKUP(C30,Product_List!$A$2:$A$100,Product_List!$C$2:$C$100)</f>
        <v>350000</v>
      </c>
      <c r="J30" t="str">
        <f>_xlfn.XLOOKUP(C30,Product_List!$A$2:$A$100,Product_List!$D$2:$D$100)</f>
        <v>Electronics</v>
      </c>
      <c r="K30" t="str">
        <f>_xlfn.XLOOKUP(E30,Employee_Targets!$A$2:$A$100,Employee_Targets!$B$2:$B$100)</f>
        <v>Retail</v>
      </c>
      <c r="L30">
        <f>_xlfn.XLOOKUP(E30,Employee_Targets!$A$2:$A$100,Employee_Targets!$C$2:$C$100)</f>
        <v>500000</v>
      </c>
      <c r="M30">
        <f t="shared" si="2"/>
        <v>350000</v>
      </c>
      <c r="N30" t="str">
        <f t="shared" si="3"/>
        <v>Not Achieved</v>
      </c>
    </row>
    <row r="31" spans="1:14" x14ac:dyDescent="0.25">
      <c r="A31" t="s">
        <v>51</v>
      </c>
      <c r="B31" t="s">
        <v>11</v>
      </c>
      <c r="C31" t="s">
        <v>14</v>
      </c>
      <c r="D31">
        <v>2</v>
      </c>
      <c r="E31" t="s">
        <v>12</v>
      </c>
      <c r="F31" t="s">
        <v>143</v>
      </c>
      <c r="G31" t="str">
        <f>PROPER(TRIM(B31))</f>
        <v>Amina Bello</v>
      </c>
      <c r="H31" t="str">
        <f t="shared" si="1"/>
        <v>Joy</v>
      </c>
      <c r="I31">
        <f>_xlfn.XLOOKUP(C31,Product_List!$A$2:$A$100,Product_List!$C$2:$C$100)</f>
        <v>90000</v>
      </c>
      <c r="J31" t="str">
        <f>_xlfn.XLOOKUP(C31,Product_List!$A$2:$A$100,Product_List!$D$2:$D$100)</f>
        <v>Electronics</v>
      </c>
      <c r="K31" t="str">
        <f>_xlfn.XLOOKUP(E31,Employee_Targets!$A$2:$A$100,Employee_Targets!$B$2:$B$100)</f>
        <v>Corporate</v>
      </c>
      <c r="L31">
        <f>_xlfn.XLOOKUP(E31,Employee_Targets!$A$2:$A$100,Employee_Targets!$C$2:$C$100)</f>
        <v>350000</v>
      </c>
      <c r="M31">
        <f t="shared" si="2"/>
        <v>180000</v>
      </c>
      <c r="N31" t="str">
        <f t="shared" si="3"/>
        <v>Not Achieved</v>
      </c>
    </row>
    <row r="32" spans="1:14" x14ac:dyDescent="0.25">
      <c r="A32" t="s">
        <v>52</v>
      </c>
      <c r="B32" t="s">
        <v>140</v>
      </c>
      <c r="C32" t="s">
        <v>53</v>
      </c>
      <c r="D32">
        <v>4</v>
      </c>
      <c r="E32" t="s">
        <v>17</v>
      </c>
      <c r="F32" t="s">
        <v>143</v>
      </c>
      <c r="G32" t="str">
        <f>PROPER(TRIM(B32))</f>
        <v>Uknown Customer</v>
      </c>
      <c r="H32" t="str">
        <f t="shared" si="1"/>
        <v>Henry</v>
      </c>
      <c r="I32">
        <f>_xlfn.XLOOKUP(C32,Product_List!$A$2:$A$100,Product_List!$C$2:$C$100)</f>
        <v>5000</v>
      </c>
      <c r="J32" t="str">
        <f>_xlfn.XLOOKUP(C32,Product_List!$A$2:$A$100,Product_List!$D$2:$D$100)</f>
        <v>Accessories</v>
      </c>
      <c r="K32" t="e">
        <f>_xlfn.XLOOKUP(E32,Employee_Targets!$A$2:$A$100,Employee_Targets!$B$2:$B$100)</f>
        <v>#N/A</v>
      </c>
      <c r="L32" t="e">
        <f>_xlfn.XLOOKUP(E32,Employee_Targets!$A$2:$A$100,Employee_Targets!$C$2:$C$100)</f>
        <v>#N/A</v>
      </c>
      <c r="M32">
        <f t="shared" si="2"/>
        <v>20000</v>
      </c>
      <c r="N32" t="e">
        <f t="shared" si="3"/>
        <v>#N/A</v>
      </c>
    </row>
    <row r="33" spans="1:14" x14ac:dyDescent="0.25">
      <c r="A33" t="s">
        <v>54</v>
      </c>
      <c r="B33" t="s">
        <v>55</v>
      </c>
      <c r="C33" t="s">
        <v>53</v>
      </c>
      <c r="D33">
        <v>4</v>
      </c>
      <c r="E33" t="s">
        <v>12</v>
      </c>
      <c r="F33" t="s">
        <v>143</v>
      </c>
      <c r="G33" t="str">
        <f>PROPER(TRIM(B33))</f>
        <v>John Ade</v>
      </c>
      <c r="H33" t="str">
        <f t="shared" si="1"/>
        <v>Joy</v>
      </c>
      <c r="I33">
        <f>_xlfn.XLOOKUP(C33,Product_List!$A$2:$A$100,Product_List!$C$2:$C$100)</f>
        <v>5000</v>
      </c>
      <c r="J33" t="str">
        <f>_xlfn.XLOOKUP(C33,Product_List!$A$2:$A$100,Product_List!$D$2:$D$100)</f>
        <v>Accessories</v>
      </c>
      <c r="K33" t="str">
        <f>_xlfn.XLOOKUP(E33,Employee_Targets!$A$2:$A$100,Employee_Targets!$B$2:$B$100)</f>
        <v>Corporate</v>
      </c>
      <c r="L33">
        <f>_xlfn.XLOOKUP(E33,Employee_Targets!$A$2:$A$100,Employee_Targets!$C$2:$C$100)</f>
        <v>350000</v>
      </c>
      <c r="M33">
        <f t="shared" si="2"/>
        <v>20000</v>
      </c>
      <c r="N33" t="str">
        <f t="shared" si="3"/>
        <v>Not Achieved</v>
      </c>
    </row>
    <row r="34" spans="1:14" x14ac:dyDescent="0.25">
      <c r="A34" t="s">
        <v>56</v>
      </c>
      <c r="B34" t="s">
        <v>11</v>
      </c>
      <c r="C34" t="s">
        <v>30</v>
      </c>
      <c r="D34" t="s">
        <v>141</v>
      </c>
      <c r="E34" t="s">
        <v>12</v>
      </c>
      <c r="F34" t="s">
        <v>15</v>
      </c>
      <c r="G34" t="str">
        <f>PROPER(TRIM(B34))</f>
        <v>Amina Bello</v>
      </c>
      <c r="H34" t="str">
        <f t="shared" si="1"/>
        <v>Joy</v>
      </c>
      <c r="I34">
        <f>_xlfn.XLOOKUP(C34,Product_List!$A$2:$A$100,Product_List!$C$2:$C$100)</f>
        <v>350000</v>
      </c>
      <c r="J34" t="str">
        <f>_xlfn.XLOOKUP(C34,Product_List!$A$2:$A$100,Product_List!$D$2:$D$100)</f>
        <v>Electronics</v>
      </c>
      <c r="K34" t="str">
        <f>_xlfn.XLOOKUP(E34,Employee_Targets!$A$2:$A$100,Employee_Targets!$B$2:$B$100)</f>
        <v>Corporate</v>
      </c>
      <c r="L34">
        <f>_xlfn.XLOOKUP(E34,Employee_Targets!$A$2:$A$100,Employee_Targets!$C$2:$C$100)</f>
        <v>350000</v>
      </c>
      <c r="M34" t="e">
        <f t="shared" si="2"/>
        <v>#VALUE!</v>
      </c>
      <c r="N34" t="e">
        <f t="shared" si="3"/>
        <v>#VALUE!</v>
      </c>
    </row>
    <row r="35" spans="1:14" x14ac:dyDescent="0.25">
      <c r="A35" t="s">
        <v>57</v>
      </c>
      <c r="B35" t="s">
        <v>27</v>
      </c>
      <c r="C35" t="s">
        <v>53</v>
      </c>
      <c r="D35">
        <v>2</v>
      </c>
      <c r="E35" t="s">
        <v>17</v>
      </c>
      <c r="F35" t="s">
        <v>28</v>
      </c>
      <c r="G35" t="str">
        <f>PROPER(TRIM(B35))</f>
        <v>Mary Okon</v>
      </c>
      <c r="H35" t="str">
        <f t="shared" si="1"/>
        <v>Henry</v>
      </c>
      <c r="I35">
        <f>_xlfn.XLOOKUP(C35,Product_List!$A$2:$A$100,Product_List!$C$2:$C$100)</f>
        <v>5000</v>
      </c>
      <c r="J35" t="str">
        <f>_xlfn.XLOOKUP(C35,Product_List!$A$2:$A$100,Product_List!$D$2:$D$100)</f>
        <v>Accessories</v>
      </c>
      <c r="K35" t="e">
        <f>_xlfn.XLOOKUP(E35,Employee_Targets!$A$2:$A$100,Employee_Targets!$B$2:$B$100)</f>
        <v>#N/A</v>
      </c>
      <c r="L35" t="e">
        <f>_xlfn.XLOOKUP(E35,Employee_Targets!$A$2:$A$100,Employee_Targets!$C$2:$C$100)</f>
        <v>#N/A</v>
      </c>
      <c r="M35">
        <f t="shared" si="2"/>
        <v>10000</v>
      </c>
      <c r="N35" t="e">
        <f t="shared" si="3"/>
        <v>#N/A</v>
      </c>
    </row>
    <row r="36" spans="1:14" x14ac:dyDescent="0.25">
      <c r="A36" t="s">
        <v>58</v>
      </c>
      <c r="B36" t="s">
        <v>42</v>
      </c>
      <c r="C36" t="s">
        <v>53</v>
      </c>
      <c r="D36">
        <v>3</v>
      </c>
      <c r="E36" t="s">
        <v>24</v>
      </c>
      <c r="F36" t="s">
        <v>143</v>
      </c>
      <c r="G36" t="str">
        <f>PROPER(TRIM(B36))</f>
        <v>Grace</v>
      </c>
      <c r="H36" t="str">
        <f t="shared" si="1"/>
        <v>Emma</v>
      </c>
      <c r="I36">
        <f>_xlfn.XLOOKUP(C36,Product_List!$A$2:$A$100,Product_List!$C$2:$C$100)</f>
        <v>5000</v>
      </c>
      <c r="J36" t="str">
        <f>_xlfn.XLOOKUP(C36,Product_List!$A$2:$A$100,Product_List!$D$2:$D$100)</f>
        <v>Accessories</v>
      </c>
      <c r="K36" t="str">
        <f>_xlfn.XLOOKUP(E36,Employee_Targets!$A$2:$A$100,Employee_Targets!$B$2:$B$100)</f>
        <v>Retail</v>
      </c>
      <c r="L36">
        <f>_xlfn.XLOOKUP(E36,Employee_Targets!$A$2:$A$100,Employee_Targets!$C$2:$C$100)</f>
        <v>200000</v>
      </c>
      <c r="M36">
        <f t="shared" si="2"/>
        <v>15000</v>
      </c>
      <c r="N36" t="str">
        <f t="shared" si="3"/>
        <v>Not Achieved</v>
      </c>
    </row>
    <row r="37" spans="1:14" x14ac:dyDescent="0.25">
      <c r="A37" t="s">
        <v>59</v>
      </c>
      <c r="B37" t="s">
        <v>140</v>
      </c>
      <c r="C37" t="s">
        <v>30</v>
      </c>
      <c r="D37">
        <v>1</v>
      </c>
      <c r="E37" t="s">
        <v>9</v>
      </c>
      <c r="F37" t="s">
        <v>34</v>
      </c>
      <c r="G37" t="str">
        <f>PROPER(TRIM(B37))</f>
        <v>Uknown Customer</v>
      </c>
      <c r="H37" t="str">
        <f t="shared" si="1"/>
        <v>Samuel</v>
      </c>
      <c r="I37">
        <f>_xlfn.XLOOKUP(C37,Product_List!$A$2:$A$100,Product_List!$C$2:$C$100)</f>
        <v>350000</v>
      </c>
      <c r="J37" t="str">
        <f>_xlfn.XLOOKUP(C37,Product_List!$A$2:$A$100,Product_List!$D$2:$D$100)</f>
        <v>Electronics</v>
      </c>
      <c r="K37" t="str">
        <f>_xlfn.XLOOKUP(E37,Employee_Targets!$A$2:$A$100,Employee_Targets!$B$2:$B$100)</f>
        <v>Retail</v>
      </c>
      <c r="L37">
        <f>_xlfn.XLOOKUP(E37,Employee_Targets!$A$2:$A$100,Employee_Targets!$C$2:$C$100)</f>
        <v>500000</v>
      </c>
      <c r="M37">
        <f t="shared" si="2"/>
        <v>350000</v>
      </c>
      <c r="N37" t="str">
        <f t="shared" si="3"/>
        <v>Not Achieved</v>
      </c>
    </row>
    <row r="38" spans="1:14" x14ac:dyDescent="0.25">
      <c r="A38" t="s">
        <v>60</v>
      </c>
      <c r="B38" t="s">
        <v>11</v>
      </c>
      <c r="C38" t="s">
        <v>53</v>
      </c>
      <c r="D38">
        <v>5</v>
      </c>
      <c r="E38" t="s">
        <v>9</v>
      </c>
      <c r="F38" t="s">
        <v>143</v>
      </c>
      <c r="G38" t="str">
        <f>PROPER(TRIM(B38))</f>
        <v>Amina Bello</v>
      </c>
      <c r="H38" t="str">
        <f t="shared" si="1"/>
        <v>Samuel</v>
      </c>
      <c r="I38">
        <f>_xlfn.XLOOKUP(C38,Product_List!$A$2:$A$100,Product_List!$C$2:$C$100)</f>
        <v>5000</v>
      </c>
      <c r="J38" t="str">
        <f>_xlfn.XLOOKUP(C38,Product_List!$A$2:$A$100,Product_List!$D$2:$D$100)</f>
        <v>Accessories</v>
      </c>
      <c r="K38" t="str">
        <f>_xlfn.XLOOKUP(E38,Employee_Targets!$A$2:$A$100,Employee_Targets!$B$2:$B$100)</f>
        <v>Retail</v>
      </c>
      <c r="L38">
        <f>_xlfn.XLOOKUP(E38,Employee_Targets!$A$2:$A$100,Employee_Targets!$C$2:$C$100)</f>
        <v>500000</v>
      </c>
      <c r="M38">
        <f t="shared" si="2"/>
        <v>25000</v>
      </c>
      <c r="N38" t="str">
        <f t="shared" si="3"/>
        <v>Not Achieved</v>
      </c>
    </row>
    <row r="39" spans="1:14" x14ac:dyDescent="0.25">
      <c r="A39" t="s">
        <v>61</v>
      </c>
      <c r="B39" t="s">
        <v>55</v>
      </c>
      <c r="D39">
        <v>1</v>
      </c>
      <c r="E39" t="s">
        <v>9</v>
      </c>
      <c r="F39" t="s">
        <v>143</v>
      </c>
      <c r="G39" t="str">
        <f>PROPER(TRIM(B39))</f>
        <v>John Ade</v>
      </c>
      <c r="H39" t="str">
        <f t="shared" si="1"/>
        <v>Samuel</v>
      </c>
      <c r="I39">
        <f>_xlfn.XLOOKUP(C39,Product_List!$A$2:$A$100,Product_List!$C$2:$C$100)</f>
        <v>0</v>
      </c>
      <c r="J39">
        <f>_xlfn.XLOOKUP(C39,Product_List!$A$2:$A$100,Product_List!$D$2:$D$100)</f>
        <v>0</v>
      </c>
      <c r="K39" t="str">
        <f>_xlfn.XLOOKUP(E39,Employee_Targets!$A$2:$A$100,Employee_Targets!$B$2:$B$100)</f>
        <v>Retail</v>
      </c>
      <c r="L39">
        <f>_xlfn.XLOOKUP(E39,Employee_Targets!$A$2:$A$100,Employee_Targets!$C$2:$C$100)</f>
        <v>500000</v>
      </c>
      <c r="M39">
        <f t="shared" si="2"/>
        <v>0</v>
      </c>
      <c r="N39" t="str">
        <f t="shared" si="3"/>
        <v>Not Achieved</v>
      </c>
    </row>
    <row r="40" spans="1:14" x14ac:dyDescent="0.25">
      <c r="A40" t="s">
        <v>62</v>
      </c>
      <c r="B40" t="s">
        <v>55</v>
      </c>
      <c r="C40" t="s">
        <v>8</v>
      </c>
      <c r="D40">
        <v>1</v>
      </c>
      <c r="E40" t="s">
        <v>9</v>
      </c>
      <c r="F40" t="s">
        <v>28</v>
      </c>
      <c r="G40" t="str">
        <f>PROPER(TRIM(B40))</f>
        <v>John Ade</v>
      </c>
      <c r="H40" t="str">
        <f t="shared" si="1"/>
        <v>Samuel</v>
      </c>
      <c r="I40">
        <f>_xlfn.XLOOKUP(C40,Product_List!$A$2:$A$100,Product_List!$C$2:$C$100)</f>
        <v>15000</v>
      </c>
      <c r="J40" t="str">
        <f>_xlfn.XLOOKUP(C40,Product_List!$A$2:$A$100,Product_List!$D$2:$D$100)</f>
        <v>Accessories</v>
      </c>
      <c r="K40" t="str">
        <f>_xlfn.XLOOKUP(E40,Employee_Targets!$A$2:$A$100,Employee_Targets!$B$2:$B$100)</f>
        <v>Retail</v>
      </c>
      <c r="L40">
        <f>_xlfn.XLOOKUP(E40,Employee_Targets!$A$2:$A$100,Employee_Targets!$C$2:$C$100)</f>
        <v>500000</v>
      </c>
      <c r="M40">
        <f t="shared" si="2"/>
        <v>15000</v>
      </c>
      <c r="N40" t="str">
        <f t="shared" si="3"/>
        <v>Not Achieved</v>
      </c>
    </row>
    <row r="41" spans="1:14" x14ac:dyDescent="0.25">
      <c r="A41" t="s">
        <v>63</v>
      </c>
      <c r="B41" t="s">
        <v>19</v>
      </c>
      <c r="C41" t="s">
        <v>8</v>
      </c>
      <c r="D41">
        <v>3</v>
      </c>
      <c r="E41" t="s">
        <v>9</v>
      </c>
      <c r="F41" t="s">
        <v>143</v>
      </c>
      <c r="G41" t="str">
        <f>PROPER(TRIM(B41))</f>
        <v>Peter Yusuf</v>
      </c>
      <c r="H41" t="str">
        <f t="shared" si="1"/>
        <v>Samuel</v>
      </c>
      <c r="I41">
        <f>_xlfn.XLOOKUP(C41,Product_List!$A$2:$A$100,Product_List!$C$2:$C$100)</f>
        <v>15000</v>
      </c>
      <c r="J41" t="str">
        <f>_xlfn.XLOOKUP(C41,Product_List!$A$2:$A$100,Product_List!$D$2:$D$100)</f>
        <v>Accessories</v>
      </c>
      <c r="K41" t="str">
        <f>_xlfn.XLOOKUP(E41,Employee_Targets!$A$2:$A$100,Employee_Targets!$B$2:$B$100)</f>
        <v>Retail</v>
      </c>
      <c r="L41">
        <f>_xlfn.XLOOKUP(E41,Employee_Targets!$A$2:$A$100,Employee_Targets!$C$2:$C$100)</f>
        <v>500000</v>
      </c>
      <c r="M41">
        <f t="shared" si="2"/>
        <v>45000</v>
      </c>
      <c r="N41" t="str">
        <f t="shared" si="3"/>
        <v>Not Achieved</v>
      </c>
    </row>
    <row r="42" spans="1:14" x14ac:dyDescent="0.25">
      <c r="A42" t="s">
        <v>64</v>
      </c>
      <c r="B42" t="s">
        <v>19</v>
      </c>
      <c r="C42" t="s">
        <v>30</v>
      </c>
      <c r="D42">
        <v>1</v>
      </c>
      <c r="E42" t="s">
        <v>9</v>
      </c>
      <c r="F42" t="s">
        <v>143</v>
      </c>
      <c r="G42" t="str">
        <f>PROPER(TRIM(B42))</f>
        <v>Peter Yusuf</v>
      </c>
      <c r="H42" t="str">
        <f t="shared" si="1"/>
        <v>Samuel</v>
      </c>
      <c r="I42">
        <f>_xlfn.XLOOKUP(C42,Product_List!$A$2:$A$100,Product_List!$C$2:$C$100)</f>
        <v>350000</v>
      </c>
      <c r="J42" t="str">
        <f>_xlfn.XLOOKUP(C42,Product_List!$A$2:$A$100,Product_List!$D$2:$D$100)</f>
        <v>Electronics</v>
      </c>
      <c r="K42" t="str">
        <f>_xlfn.XLOOKUP(E42,Employee_Targets!$A$2:$A$100,Employee_Targets!$B$2:$B$100)</f>
        <v>Retail</v>
      </c>
      <c r="L42">
        <f>_xlfn.XLOOKUP(E42,Employee_Targets!$A$2:$A$100,Employee_Targets!$C$2:$C$100)</f>
        <v>500000</v>
      </c>
      <c r="M42">
        <f t="shared" si="2"/>
        <v>350000</v>
      </c>
      <c r="N42" t="str">
        <f t="shared" si="3"/>
        <v>Not Achieved</v>
      </c>
    </row>
    <row r="43" spans="1:14" x14ac:dyDescent="0.25">
      <c r="A43" t="s">
        <v>65</v>
      </c>
      <c r="B43" t="s">
        <v>7</v>
      </c>
      <c r="C43" t="s">
        <v>14</v>
      </c>
      <c r="D43">
        <v>2</v>
      </c>
      <c r="E43" t="s">
        <v>17</v>
      </c>
      <c r="F43" t="s">
        <v>15</v>
      </c>
      <c r="G43" t="str">
        <f>PROPER(TRIM(B43))</f>
        <v>Ali Musa</v>
      </c>
      <c r="H43" t="str">
        <f t="shared" si="1"/>
        <v>Henry</v>
      </c>
      <c r="I43">
        <f>_xlfn.XLOOKUP(C43,Product_List!$A$2:$A$100,Product_List!$C$2:$C$100)</f>
        <v>90000</v>
      </c>
      <c r="J43" t="str">
        <f>_xlfn.XLOOKUP(C43,Product_List!$A$2:$A$100,Product_List!$D$2:$D$100)</f>
        <v>Electronics</v>
      </c>
      <c r="K43" t="e">
        <f>_xlfn.XLOOKUP(E43,Employee_Targets!$A$2:$A$100,Employee_Targets!$B$2:$B$100)</f>
        <v>#N/A</v>
      </c>
      <c r="L43" t="e">
        <f>_xlfn.XLOOKUP(E43,Employee_Targets!$A$2:$A$100,Employee_Targets!$C$2:$C$100)</f>
        <v>#N/A</v>
      </c>
      <c r="M43">
        <f t="shared" si="2"/>
        <v>180000</v>
      </c>
      <c r="N43" t="e">
        <f t="shared" si="3"/>
        <v>#N/A</v>
      </c>
    </row>
    <row r="44" spans="1:14" x14ac:dyDescent="0.25">
      <c r="A44" t="s">
        <v>66</v>
      </c>
      <c r="B44" t="s">
        <v>27</v>
      </c>
      <c r="C44" t="s">
        <v>30</v>
      </c>
      <c r="D44">
        <v>2</v>
      </c>
      <c r="E44" t="s">
        <v>9</v>
      </c>
      <c r="F44" t="s">
        <v>143</v>
      </c>
      <c r="G44" t="str">
        <f>PROPER(TRIM(B44))</f>
        <v>Mary Okon</v>
      </c>
      <c r="H44" t="str">
        <f t="shared" si="1"/>
        <v>Samuel</v>
      </c>
      <c r="I44">
        <f>_xlfn.XLOOKUP(C44,Product_List!$A$2:$A$100,Product_List!$C$2:$C$100)</f>
        <v>350000</v>
      </c>
      <c r="J44" t="str">
        <f>_xlfn.XLOOKUP(C44,Product_List!$A$2:$A$100,Product_List!$D$2:$D$100)</f>
        <v>Electronics</v>
      </c>
      <c r="K44" t="str">
        <f>_xlfn.XLOOKUP(E44,Employee_Targets!$A$2:$A$100,Employee_Targets!$B$2:$B$100)</f>
        <v>Retail</v>
      </c>
      <c r="L44">
        <f>_xlfn.XLOOKUP(E44,Employee_Targets!$A$2:$A$100,Employee_Targets!$C$2:$C$100)</f>
        <v>500000</v>
      </c>
      <c r="M44">
        <f t="shared" si="2"/>
        <v>700000</v>
      </c>
      <c r="N44" t="str">
        <f t="shared" si="3"/>
        <v>Achieved</v>
      </c>
    </row>
    <row r="45" spans="1:14" x14ac:dyDescent="0.25">
      <c r="A45" t="s">
        <v>67</v>
      </c>
      <c r="B45" t="s">
        <v>140</v>
      </c>
      <c r="C45" t="s">
        <v>14</v>
      </c>
      <c r="D45">
        <v>4</v>
      </c>
      <c r="E45" t="s">
        <v>9</v>
      </c>
      <c r="F45" t="s">
        <v>34</v>
      </c>
      <c r="G45" t="str">
        <f>PROPER(TRIM(B45))</f>
        <v>Uknown Customer</v>
      </c>
      <c r="H45" t="str">
        <f t="shared" si="1"/>
        <v>Samuel</v>
      </c>
      <c r="I45">
        <f>_xlfn.XLOOKUP(C45,Product_List!$A$2:$A$100,Product_List!$C$2:$C$100)</f>
        <v>90000</v>
      </c>
      <c r="J45" t="str">
        <f>_xlfn.XLOOKUP(C45,Product_List!$A$2:$A$100,Product_List!$D$2:$D$100)</f>
        <v>Electronics</v>
      </c>
      <c r="K45" t="str">
        <f>_xlfn.XLOOKUP(E45,Employee_Targets!$A$2:$A$100,Employee_Targets!$B$2:$B$100)</f>
        <v>Retail</v>
      </c>
      <c r="L45">
        <f>_xlfn.XLOOKUP(E45,Employee_Targets!$A$2:$A$100,Employee_Targets!$C$2:$C$100)</f>
        <v>500000</v>
      </c>
      <c r="M45">
        <f t="shared" si="2"/>
        <v>360000</v>
      </c>
      <c r="N45" t="str">
        <f t="shared" si="3"/>
        <v>Not Achieved</v>
      </c>
    </row>
    <row r="46" spans="1:14" x14ac:dyDescent="0.25">
      <c r="A46" t="s">
        <v>68</v>
      </c>
      <c r="B46" t="s">
        <v>11</v>
      </c>
      <c r="C46" t="s">
        <v>8</v>
      </c>
      <c r="D46" t="s">
        <v>141</v>
      </c>
      <c r="E46" t="s">
        <v>24</v>
      </c>
      <c r="F46" t="s">
        <v>28</v>
      </c>
      <c r="G46" t="str">
        <f>PROPER(TRIM(B46))</f>
        <v>Amina Bello</v>
      </c>
      <c r="H46" t="str">
        <f t="shared" si="1"/>
        <v>Emma</v>
      </c>
      <c r="I46">
        <f>_xlfn.XLOOKUP(C46,Product_List!$A$2:$A$100,Product_List!$C$2:$C$100)</f>
        <v>15000</v>
      </c>
      <c r="J46" t="str">
        <f>_xlfn.XLOOKUP(C46,Product_List!$A$2:$A$100,Product_List!$D$2:$D$100)</f>
        <v>Accessories</v>
      </c>
      <c r="K46" t="str">
        <f>_xlfn.XLOOKUP(E46,Employee_Targets!$A$2:$A$100,Employee_Targets!$B$2:$B$100)</f>
        <v>Retail</v>
      </c>
      <c r="L46">
        <f>_xlfn.XLOOKUP(E46,Employee_Targets!$A$2:$A$100,Employee_Targets!$C$2:$C$100)</f>
        <v>200000</v>
      </c>
      <c r="M46" t="e">
        <f t="shared" si="2"/>
        <v>#VALUE!</v>
      </c>
      <c r="N46" t="e">
        <f t="shared" si="3"/>
        <v>#VALUE!</v>
      </c>
    </row>
    <row r="47" spans="1:14" x14ac:dyDescent="0.25">
      <c r="A47" t="s">
        <v>69</v>
      </c>
      <c r="B47" t="s">
        <v>11</v>
      </c>
      <c r="C47" t="s">
        <v>30</v>
      </c>
      <c r="D47">
        <v>5</v>
      </c>
      <c r="E47" t="s">
        <v>9</v>
      </c>
      <c r="F47" t="s">
        <v>34</v>
      </c>
      <c r="G47" t="str">
        <f>PROPER(TRIM(B47))</f>
        <v>Amina Bello</v>
      </c>
      <c r="H47" t="str">
        <f t="shared" si="1"/>
        <v>Samuel</v>
      </c>
      <c r="I47">
        <f>_xlfn.XLOOKUP(C47,Product_List!$A$2:$A$100,Product_List!$C$2:$C$100)</f>
        <v>350000</v>
      </c>
      <c r="J47" t="str">
        <f>_xlfn.XLOOKUP(C47,Product_List!$A$2:$A$100,Product_List!$D$2:$D$100)</f>
        <v>Electronics</v>
      </c>
      <c r="K47" t="str">
        <f>_xlfn.XLOOKUP(E47,Employee_Targets!$A$2:$A$100,Employee_Targets!$B$2:$B$100)</f>
        <v>Retail</v>
      </c>
      <c r="L47">
        <f>_xlfn.XLOOKUP(E47,Employee_Targets!$A$2:$A$100,Employee_Targets!$C$2:$C$100)</f>
        <v>500000</v>
      </c>
      <c r="M47">
        <f t="shared" si="2"/>
        <v>1750000</v>
      </c>
      <c r="N47" t="str">
        <f t="shared" si="3"/>
        <v>Achieved</v>
      </c>
    </row>
    <row r="48" spans="1:14" x14ac:dyDescent="0.25">
      <c r="A48" t="s">
        <v>70</v>
      </c>
      <c r="B48" t="s">
        <v>140</v>
      </c>
      <c r="C48" t="s">
        <v>21</v>
      </c>
      <c r="D48">
        <v>1</v>
      </c>
      <c r="E48" t="s">
        <v>9</v>
      </c>
      <c r="F48" t="s">
        <v>143</v>
      </c>
      <c r="G48" t="str">
        <f>PROPER(TRIM(B48))</f>
        <v>Uknown Customer</v>
      </c>
      <c r="H48" t="str">
        <f t="shared" si="1"/>
        <v>Samuel</v>
      </c>
      <c r="I48">
        <f>_xlfn.XLOOKUP(C48,Product_List!$A$2:$A$100,Product_List!$C$2:$C$100)</f>
        <v>45000</v>
      </c>
      <c r="J48" t="str">
        <f>_xlfn.XLOOKUP(C48,Product_List!$A$2:$A$100,Product_List!$D$2:$D$100)</f>
        <v>Electronics</v>
      </c>
      <c r="K48" t="str">
        <f>_xlfn.XLOOKUP(E48,Employee_Targets!$A$2:$A$100,Employee_Targets!$B$2:$B$100)</f>
        <v>Retail</v>
      </c>
      <c r="L48">
        <f>_xlfn.XLOOKUP(E48,Employee_Targets!$A$2:$A$100,Employee_Targets!$C$2:$C$100)</f>
        <v>500000</v>
      </c>
      <c r="M48">
        <f t="shared" si="2"/>
        <v>45000</v>
      </c>
      <c r="N48" t="str">
        <f t="shared" si="3"/>
        <v>Not Achieved</v>
      </c>
    </row>
    <row r="49" spans="1:14" x14ac:dyDescent="0.25">
      <c r="A49" t="s">
        <v>71</v>
      </c>
      <c r="B49" t="s">
        <v>7</v>
      </c>
      <c r="D49">
        <v>1</v>
      </c>
      <c r="E49" t="s">
        <v>9</v>
      </c>
      <c r="F49" t="s">
        <v>143</v>
      </c>
      <c r="G49" t="str">
        <f>PROPER(TRIM(B49))</f>
        <v>Ali Musa</v>
      </c>
      <c r="H49" t="str">
        <f t="shared" si="1"/>
        <v>Samuel</v>
      </c>
      <c r="I49">
        <f>_xlfn.XLOOKUP(C49,Product_List!$A$2:$A$100,Product_List!$C$2:$C$100)</f>
        <v>0</v>
      </c>
      <c r="J49">
        <f>_xlfn.XLOOKUP(C49,Product_List!$A$2:$A$100,Product_List!$D$2:$D$100)</f>
        <v>0</v>
      </c>
      <c r="K49" t="str">
        <f>_xlfn.XLOOKUP(E49,Employee_Targets!$A$2:$A$100,Employee_Targets!$B$2:$B$100)</f>
        <v>Retail</v>
      </c>
      <c r="L49">
        <f>_xlfn.XLOOKUP(E49,Employee_Targets!$A$2:$A$100,Employee_Targets!$C$2:$C$100)</f>
        <v>500000</v>
      </c>
      <c r="M49">
        <f t="shared" si="2"/>
        <v>0</v>
      </c>
      <c r="N49" t="str">
        <f t="shared" si="3"/>
        <v>Not Achieved</v>
      </c>
    </row>
    <row r="50" spans="1:14" x14ac:dyDescent="0.25">
      <c r="A50" t="s">
        <v>72</v>
      </c>
      <c r="B50" t="s">
        <v>42</v>
      </c>
      <c r="C50" t="s">
        <v>53</v>
      </c>
      <c r="D50">
        <v>3</v>
      </c>
      <c r="E50" t="s">
        <v>24</v>
      </c>
      <c r="F50" t="s">
        <v>143</v>
      </c>
      <c r="G50" t="str">
        <f>PROPER(TRIM(B50))</f>
        <v>Grace</v>
      </c>
      <c r="H50" t="str">
        <f t="shared" si="1"/>
        <v>Emma</v>
      </c>
      <c r="I50">
        <f>_xlfn.XLOOKUP(C50,Product_List!$A$2:$A$100,Product_List!$C$2:$C$100)</f>
        <v>5000</v>
      </c>
      <c r="J50" t="str">
        <f>_xlfn.XLOOKUP(C50,Product_List!$A$2:$A$100,Product_List!$D$2:$D$100)</f>
        <v>Accessories</v>
      </c>
      <c r="K50" t="str">
        <f>_xlfn.XLOOKUP(E50,Employee_Targets!$A$2:$A$100,Employee_Targets!$B$2:$B$100)</f>
        <v>Retail</v>
      </c>
      <c r="L50">
        <f>_xlfn.XLOOKUP(E50,Employee_Targets!$A$2:$A$100,Employee_Targets!$C$2:$C$100)</f>
        <v>200000</v>
      </c>
      <c r="M50">
        <f t="shared" si="2"/>
        <v>15000</v>
      </c>
      <c r="N50" t="str">
        <f t="shared" si="3"/>
        <v>Not Achieved</v>
      </c>
    </row>
    <row r="51" spans="1:14" x14ac:dyDescent="0.25">
      <c r="A51" t="s">
        <v>73</v>
      </c>
      <c r="B51" t="s">
        <v>42</v>
      </c>
      <c r="C51" t="s">
        <v>14</v>
      </c>
      <c r="D51" t="s">
        <v>141</v>
      </c>
      <c r="E51" t="s">
        <v>24</v>
      </c>
      <c r="F51" t="s">
        <v>34</v>
      </c>
      <c r="G51" t="str">
        <f>PROPER(TRIM(B51))</f>
        <v>Grace</v>
      </c>
      <c r="H51" t="str">
        <f t="shared" si="1"/>
        <v>Emma</v>
      </c>
      <c r="I51">
        <f>_xlfn.XLOOKUP(C51,Product_List!$A$2:$A$100,Product_List!$C$2:$C$100)</f>
        <v>90000</v>
      </c>
      <c r="J51" t="str">
        <f>_xlfn.XLOOKUP(C51,Product_List!$A$2:$A$100,Product_List!$D$2:$D$100)</f>
        <v>Electronics</v>
      </c>
      <c r="K51" t="str">
        <f>_xlfn.XLOOKUP(E51,Employee_Targets!$A$2:$A$100,Employee_Targets!$B$2:$B$100)</f>
        <v>Retail</v>
      </c>
      <c r="L51">
        <f>_xlfn.XLOOKUP(E51,Employee_Targets!$A$2:$A$100,Employee_Targets!$C$2:$C$100)</f>
        <v>200000</v>
      </c>
      <c r="M51" t="e">
        <f t="shared" si="2"/>
        <v>#VALUE!</v>
      </c>
      <c r="N51" t="e">
        <f t="shared" si="3"/>
        <v>#VALUE!</v>
      </c>
    </row>
    <row r="52" spans="1:14" x14ac:dyDescent="0.25">
      <c r="A52" t="s">
        <v>74</v>
      </c>
      <c r="B52" t="s">
        <v>7</v>
      </c>
      <c r="C52" t="s">
        <v>21</v>
      </c>
      <c r="D52">
        <v>2</v>
      </c>
      <c r="E52" t="s">
        <v>17</v>
      </c>
      <c r="F52" t="s">
        <v>143</v>
      </c>
      <c r="G52" t="str">
        <f>PROPER(TRIM(B52))</f>
        <v>Ali Musa</v>
      </c>
      <c r="H52" t="str">
        <f t="shared" si="1"/>
        <v>Henry</v>
      </c>
      <c r="I52">
        <f>_xlfn.XLOOKUP(C52,Product_List!$A$2:$A$100,Product_List!$C$2:$C$100)</f>
        <v>45000</v>
      </c>
      <c r="J52" t="str">
        <f>_xlfn.XLOOKUP(C52,Product_List!$A$2:$A$100,Product_List!$D$2:$D$100)</f>
        <v>Electronics</v>
      </c>
      <c r="K52" t="e">
        <f>_xlfn.XLOOKUP(E52,Employee_Targets!$A$2:$A$100,Employee_Targets!$B$2:$B$100)</f>
        <v>#N/A</v>
      </c>
      <c r="L52" t="e">
        <f>_xlfn.XLOOKUP(E52,Employee_Targets!$A$2:$A$100,Employee_Targets!$C$2:$C$100)</f>
        <v>#N/A</v>
      </c>
      <c r="M52">
        <f t="shared" si="2"/>
        <v>90000</v>
      </c>
      <c r="N52" t="e">
        <f t="shared" si="3"/>
        <v>#N/A</v>
      </c>
    </row>
    <row r="53" spans="1:14" x14ac:dyDescent="0.25">
      <c r="A53" t="s">
        <v>75</v>
      </c>
      <c r="B53" t="s">
        <v>42</v>
      </c>
      <c r="C53" t="s">
        <v>53</v>
      </c>
      <c r="D53">
        <v>5</v>
      </c>
      <c r="E53" t="s">
        <v>17</v>
      </c>
      <c r="F53" t="s">
        <v>34</v>
      </c>
      <c r="G53" t="str">
        <f>PROPER(TRIM(B53))</f>
        <v>Grace</v>
      </c>
      <c r="H53" t="str">
        <f t="shared" si="1"/>
        <v>Henry</v>
      </c>
      <c r="I53">
        <f>_xlfn.XLOOKUP(C53,Product_List!$A$2:$A$100,Product_List!$C$2:$C$100)</f>
        <v>5000</v>
      </c>
      <c r="J53" t="str">
        <f>_xlfn.XLOOKUP(C53,Product_List!$A$2:$A$100,Product_List!$D$2:$D$100)</f>
        <v>Accessories</v>
      </c>
      <c r="K53" t="e">
        <f>_xlfn.XLOOKUP(E53,Employee_Targets!$A$2:$A$100,Employee_Targets!$B$2:$B$100)</f>
        <v>#N/A</v>
      </c>
      <c r="L53" t="e">
        <f>_xlfn.XLOOKUP(E53,Employee_Targets!$A$2:$A$100,Employee_Targets!$C$2:$C$100)</f>
        <v>#N/A</v>
      </c>
      <c r="M53">
        <f t="shared" si="2"/>
        <v>25000</v>
      </c>
      <c r="N53" t="e">
        <f t="shared" si="3"/>
        <v>#N/A</v>
      </c>
    </row>
    <row r="54" spans="1:14" x14ac:dyDescent="0.25">
      <c r="A54" t="s">
        <v>76</v>
      </c>
      <c r="B54" t="s">
        <v>19</v>
      </c>
      <c r="C54" t="s">
        <v>53</v>
      </c>
      <c r="D54">
        <v>4</v>
      </c>
      <c r="E54" t="s">
        <v>17</v>
      </c>
      <c r="F54" t="s">
        <v>143</v>
      </c>
      <c r="G54" t="str">
        <f>PROPER(TRIM(B54))</f>
        <v>Peter Yusuf</v>
      </c>
      <c r="H54" t="str">
        <f t="shared" si="1"/>
        <v>Henry</v>
      </c>
      <c r="I54">
        <f>_xlfn.XLOOKUP(C54,Product_List!$A$2:$A$100,Product_List!$C$2:$C$100)</f>
        <v>5000</v>
      </c>
      <c r="J54" t="str">
        <f>_xlfn.XLOOKUP(C54,Product_List!$A$2:$A$100,Product_List!$D$2:$D$100)</f>
        <v>Accessories</v>
      </c>
      <c r="K54" t="e">
        <f>_xlfn.XLOOKUP(E54,Employee_Targets!$A$2:$A$100,Employee_Targets!$B$2:$B$100)</f>
        <v>#N/A</v>
      </c>
      <c r="L54" t="e">
        <f>_xlfn.XLOOKUP(E54,Employee_Targets!$A$2:$A$100,Employee_Targets!$C$2:$C$100)</f>
        <v>#N/A</v>
      </c>
      <c r="M54">
        <f t="shared" si="2"/>
        <v>20000</v>
      </c>
      <c r="N54" t="e">
        <f t="shared" si="3"/>
        <v>#N/A</v>
      </c>
    </row>
    <row r="55" spans="1:14" x14ac:dyDescent="0.25">
      <c r="A55" t="s">
        <v>77</v>
      </c>
      <c r="B55" t="s">
        <v>11</v>
      </c>
      <c r="C55" t="s">
        <v>30</v>
      </c>
      <c r="D55">
        <v>2</v>
      </c>
      <c r="E55" t="s">
        <v>17</v>
      </c>
      <c r="F55" t="s">
        <v>15</v>
      </c>
      <c r="G55" t="str">
        <f>PROPER(TRIM(B55))</f>
        <v>Amina Bello</v>
      </c>
      <c r="H55" t="str">
        <f t="shared" si="1"/>
        <v>Henry</v>
      </c>
      <c r="I55">
        <f>_xlfn.XLOOKUP(C55,Product_List!$A$2:$A$100,Product_List!$C$2:$C$100)</f>
        <v>350000</v>
      </c>
      <c r="J55" t="str">
        <f>_xlfn.XLOOKUP(C55,Product_List!$A$2:$A$100,Product_List!$D$2:$D$100)</f>
        <v>Electronics</v>
      </c>
      <c r="K55" t="e">
        <f>_xlfn.XLOOKUP(E55,Employee_Targets!$A$2:$A$100,Employee_Targets!$B$2:$B$100)</f>
        <v>#N/A</v>
      </c>
      <c r="L55" t="e">
        <f>_xlfn.XLOOKUP(E55,Employee_Targets!$A$2:$A$100,Employee_Targets!$C$2:$C$100)</f>
        <v>#N/A</v>
      </c>
      <c r="M55">
        <f t="shared" si="2"/>
        <v>700000</v>
      </c>
      <c r="N55" t="e">
        <f t="shared" si="3"/>
        <v>#N/A</v>
      </c>
    </row>
    <row r="56" spans="1:14" x14ac:dyDescent="0.25">
      <c r="A56" t="s">
        <v>78</v>
      </c>
      <c r="B56" t="s">
        <v>7</v>
      </c>
      <c r="C56" t="s">
        <v>53</v>
      </c>
      <c r="D56" t="s">
        <v>141</v>
      </c>
      <c r="E56" t="s">
        <v>17</v>
      </c>
      <c r="F56" t="s">
        <v>143</v>
      </c>
      <c r="G56" t="str">
        <f>PROPER(TRIM(B56))</f>
        <v>Ali Musa</v>
      </c>
      <c r="H56" t="str">
        <f t="shared" si="1"/>
        <v>Henry</v>
      </c>
      <c r="I56">
        <f>_xlfn.XLOOKUP(C56,Product_List!$A$2:$A$100,Product_List!$C$2:$C$100)</f>
        <v>5000</v>
      </c>
      <c r="J56" t="str">
        <f>_xlfn.XLOOKUP(C56,Product_List!$A$2:$A$100,Product_List!$D$2:$D$100)</f>
        <v>Accessories</v>
      </c>
      <c r="K56" t="e">
        <f>_xlfn.XLOOKUP(E56,Employee_Targets!$A$2:$A$100,Employee_Targets!$B$2:$B$100)</f>
        <v>#N/A</v>
      </c>
      <c r="L56" t="e">
        <f>_xlfn.XLOOKUP(E56,Employee_Targets!$A$2:$A$100,Employee_Targets!$C$2:$C$100)</f>
        <v>#N/A</v>
      </c>
      <c r="M56" t="e">
        <f t="shared" si="2"/>
        <v>#VALUE!</v>
      </c>
      <c r="N56" t="e">
        <f t="shared" si="3"/>
        <v>#VALUE!</v>
      </c>
    </row>
    <row r="57" spans="1:14" x14ac:dyDescent="0.25">
      <c r="A57" t="s">
        <v>79</v>
      </c>
      <c r="B57" t="s">
        <v>11</v>
      </c>
      <c r="D57">
        <v>4</v>
      </c>
      <c r="E57" t="s">
        <v>17</v>
      </c>
      <c r="F57" t="s">
        <v>34</v>
      </c>
      <c r="G57" t="str">
        <f>PROPER(TRIM(B57))</f>
        <v>Amina Bello</v>
      </c>
      <c r="H57" t="str">
        <f t="shared" si="1"/>
        <v>Henry</v>
      </c>
      <c r="I57">
        <f>_xlfn.XLOOKUP(C57,Product_List!$A$2:$A$100,Product_List!$C$2:$C$100)</f>
        <v>0</v>
      </c>
      <c r="J57">
        <f>_xlfn.XLOOKUP(C57,Product_List!$A$2:$A$100,Product_List!$D$2:$D$100)</f>
        <v>0</v>
      </c>
      <c r="K57" t="e">
        <f>_xlfn.XLOOKUP(E57,Employee_Targets!$A$2:$A$100,Employee_Targets!$B$2:$B$100)</f>
        <v>#N/A</v>
      </c>
      <c r="L57" t="e">
        <f>_xlfn.XLOOKUP(E57,Employee_Targets!$A$2:$A$100,Employee_Targets!$C$2:$C$100)</f>
        <v>#N/A</v>
      </c>
      <c r="M57">
        <f t="shared" si="2"/>
        <v>0</v>
      </c>
      <c r="N57" t="e">
        <f t="shared" si="3"/>
        <v>#N/A</v>
      </c>
    </row>
    <row r="58" spans="1:14" x14ac:dyDescent="0.25">
      <c r="A58" t="s">
        <v>80</v>
      </c>
      <c r="B58" t="s">
        <v>140</v>
      </c>
      <c r="C58" t="s">
        <v>21</v>
      </c>
      <c r="D58">
        <v>3</v>
      </c>
      <c r="E58" t="s">
        <v>9</v>
      </c>
      <c r="F58" t="s">
        <v>143</v>
      </c>
      <c r="G58" t="str">
        <f>PROPER(TRIM(B58))</f>
        <v>Uknown Customer</v>
      </c>
      <c r="H58" t="str">
        <f t="shared" si="1"/>
        <v>Samuel</v>
      </c>
      <c r="I58">
        <f>_xlfn.XLOOKUP(C58,Product_List!$A$2:$A$100,Product_List!$C$2:$C$100)</f>
        <v>45000</v>
      </c>
      <c r="J58" t="str">
        <f>_xlfn.XLOOKUP(C58,Product_List!$A$2:$A$100,Product_List!$D$2:$D$100)</f>
        <v>Electronics</v>
      </c>
      <c r="K58" t="str">
        <f>_xlfn.XLOOKUP(E58,Employee_Targets!$A$2:$A$100,Employee_Targets!$B$2:$B$100)</f>
        <v>Retail</v>
      </c>
      <c r="L58">
        <f>_xlfn.XLOOKUP(E58,Employee_Targets!$A$2:$A$100,Employee_Targets!$C$2:$C$100)</f>
        <v>500000</v>
      </c>
      <c r="M58">
        <f t="shared" si="2"/>
        <v>135000</v>
      </c>
      <c r="N58" t="str">
        <f t="shared" si="3"/>
        <v>Not Achieved</v>
      </c>
    </row>
    <row r="59" spans="1:14" x14ac:dyDescent="0.25">
      <c r="A59" t="s">
        <v>81</v>
      </c>
      <c r="B59" t="s">
        <v>55</v>
      </c>
      <c r="C59" t="s">
        <v>53</v>
      </c>
      <c r="D59">
        <v>3</v>
      </c>
      <c r="E59" t="s">
        <v>24</v>
      </c>
      <c r="F59" t="s">
        <v>143</v>
      </c>
      <c r="G59" t="str">
        <f>PROPER(TRIM(B59))</f>
        <v>John Ade</v>
      </c>
      <c r="H59" t="str">
        <f t="shared" si="1"/>
        <v>Emma</v>
      </c>
      <c r="I59">
        <f>_xlfn.XLOOKUP(C59,Product_List!$A$2:$A$100,Product_List!$C$2:$C$100)</f>
        <v>5000</v>
      </c>
      <c r="J59" t="str">
        <f>_xlfn.XLOOKUP(C59,Product_List!$A$2:$A$100,Product_List!$D$2:$D$100)</f>
        <v>Accessories</v>
      </c>
      <c r="K59" t="str">
        <f>_xlfn.XLOOKUP(E59,Employee_Targets!$A$2:$A$100,Employee_Targets!$B$2:$B$100)</f>
        <v>Retail</v>
      </c>
      <c r="L59">
        <f>_xlfn.XLOOKUP(E59,Employee_Targets!$A$2:$A$100,Employee_Targets!$C$2:$C$100)</f>
        <v>200000</v>
      </c>
      <c r="M59">
        <f t="shared" si="2"/>
        <v>15000</v>
      </c>
      <c r="N59" t="str">
        <f t="shared" si="3"/>
        <v>Not Achieved</v>
      </c>
    </row>
    <row r="60" spans="1:14" x14ac:dyDescent="0.25">
      <c r="A60" t="s">
        <v>82</v>
      </c>
      <c r="B60" t="s">
        <v>19</v>
      </c>
      <c r="C60" t="s">
        <v>30</v>
      </c>
      <c r="D60">
        <v>1</v>
      </c>
      <c r="E60" t="s">
        <v>17</v>
      </c>
      <c r="F60" t="s">
        <v>143</v>
      </c>
      <c r="G60" t="str">
        <f>PROPER(TRIM(B60))</f>
        <v>Peter Yusuf</v>
      </c>
      <c r="H60" t="str">
        <f t="shared" si="1"/>
        <v>Henry</v>
      </c>
      <c r="I60">
        <f>_xlfn.XLOOKUP(C60,Product_List!$A$2:$A$100,Product_List!$C$2:$C$100)</f>
        <v>350000</v>
      </c>
      <c r="J60" t="str">
        <f>_xlfn.XLOOKUP(C60,Product_List!$A$2:$A$100,Product_List!$D$2:$D$100)</f>
        <v>Electronics</v>
      </c>
      <c r="K60" t="e">
        <f>_xlfn.XLOOKUP(E60,Employee_Targets!$A$2:$A$100,Employee_Targets!$B$2:$B$100)</f>
        <v>#N/A</v>
      </c>
      <c r="L60" t="e">
        <f>_xlfn.XLOOKUP(E60,Employee_Targets!$A$2:$A$100,Employee_Targets!$C$2:$C$100)</f>
        <v>#N/A</v>
      </c>
      <c r="M60">
        <f t="shared" si="2"/>
        <v>350000</v>
      </c>
      <c r="N60" t="e">
        <f t="shared" si="3"/>
        <v>#N/A</v>
      </c>
    </row>
    <row r="61" spans="1:14" x14ac:dyDescent="0.25">
      <c r="A61" t="s">
        <v>83</v>
      </c>
      <c r="B61" t="s">
        <v>140</v>
      </c>
      <c r="D61" t="s">
        <v>141</v>
      </c>
      <c r="E61" t="s">
        <v>24</v>
      </c>
      <c r="F61" t="s">
        <v>15</v>
      </c>
      <c r="G61" t="str">
        <f>PROPER(TRIM(B61))</f>
        <v>Uknown Customer</v>
      </c>
      <c r="H61" t="str">
        <f t="shared" si="1"/>
        <v>Emma</v>
      </c>
      <c r="I61">
        <f>_xlfn.XLOOKUP(C61,Product_List!$A$2:$A$100,Product_List!$C$2:$C$100)</f>
        <v>0</v>
      </c>
      <c r="J61">
        <f>_xlfn.XLOOKUP(C61,Product_List!$A$2:$A$100,Product_List!$D$2:$D$100)</f>
        <v>0</v>
      </c>
      <c r="K61" t="str">
        <f>_xlfn.XLOOKUP(E61,Employee_Targets!$A$2:$A$100,Employee_Targets!$B$2:$B$100)</f>
        <v>Retail</v>
      </c>
      <c r="L61">
        <f>_xlfn.XLOOKUP(E61,Employee_Targets!$A$2:$A$100,Employee_Targets!$C$2:$C$100)</f>
        <v>200000</v>
      </c>
      <c r="M61" t="e">
        <f t="shared" si="2"/>
        <v>#VALUE!</v>
      </c>
      <c r="N61" t="e">
        <f t="shared" si="3"/>
        <v>#VALUE!</v>
      </c>
    </row>
    <row r="62" spans="1:14" x14ac:dyDescent="0.25">
      <c r="A62" t="s">
        <v>84</v>
      </c>
      <c r="B62" t="s">
        <v>19</v>
      </c>
      <c r="C62" t="s">
        <v>8</v>
      </c>
      <c r="D62">
        <v>5</v>
      </c>
      <c r="E62" t="s">
        <v>24</v>
      </c>
      <c r="F62" t="s">
        <v>28</v>
      </c>
      <c r="G62" t="str">
        <f>PROPER(TRIM(B62))</f>
        <v>Peter Yusuf</v>
      </c>
      <c r="H62" t="str">
        <f t="shared" si="1"/>
        <v>Emma</v>
      </c>
      <c r="I62">
        <f>_xlfn.XLOOKUP(C62,Product_List!$A$2:$A$100,Product_List!$C$2:$C$100)</f>
        <v>15000</v>
      </c>
      <c r="J62" t="str">
        <f>_xlfn.XLOOKUP(C62,Product_List!$A$2:$A$100,Product_List!$D$2:$D$100)</f>
        <v>Accessories</v>
      </c>
      <c r="K62" t="str">
        <f>_xlfn.XLOOKUP(E62,Employee_Targets!$A$2:$A$100,Employee_Targets!$B$2:$B$100)</f>
        <v>Retail</v>
      </c>
      <c r="L62">
        <f>_xlfn.XLOOKUP(E62,Employee_Targets!$A$2:$A$100,Employee_Targets!$C$2:$C$100)</f>
        <v>200000</v>
      </c>
      <c r="M62">
        <f t="shared" si="2"/>
        <v>75000</v>
      </c>
      <c r="N62" t="str">
        <f t="shared" si="3"/>
        <v>Not Achieved</v>
      </c>
    </row>
    <row r="63" spans="1:14" x14ac:dyDescent="0.25">
      <c r="A63" t="s">
        <v>85</v>
      </c>
      <c r="B63" t="s">
        <v>7</v>
      </c>
      <c r="C63" t="s">
        <v>21</v>
      </c>
      <c r="D63">
        <v>4</v>
      </c>
      <c r="E63" t="s">
        <v>12</v>
      </c>
      <c r="F63" t="s">
        <v>15</v>
      </c>
      <c r="G63" t="str">
        <f>PROPER(TRIM(B63))</f>
        <v>Ali Musa</v>
      </c>
      <c r="H63" t="str">
        <f t="shared" si="1"/>
        <v>Joy</v>
      </c>
      <c r="I63">
        <f>_xlfn.XLOOKUP(C63,Product_List!$A$2:$A$100,Product_List!$C$2:$C$100)</f>
        <v>45000</v>
      </c>
      <c r="J63" t="str">
        <f>_xlfn.XLOOKUP(C63,Product_List!$A$2:$A$100,Product_List!$D$2:$D$100)</f>
        <v>Electronics</v>
      </c>
      <c r="K63" t="str">
        <f>_xlfn.XLOOKUP(E63,Employee_Targets!$A$2:$A$100,Employee_Targets!$B$2:$B$100)</f>
        <v>Corporate</v>
      </c>
      <c r="L63">
        <f>_xlfn.XLOOKUP(E63,Employee_Targets!$A$2:$A$100,Employee_Targets!$C$2:$C$100)</f>
        <v>350000</v>
      </c>
      <c r="M63">
        <f t="shared" si="2"/>
        <v>180000</v>
      </c>
      <c r="N63" t="str">
        <f t="shared" si="3"/>
        <v>Not Achieved</v>
      </c>
    </row>
    <row r="64" spans="1:14" x14ac:dyDescent="0.25">
      <c r="A64" t="s">
        <v>86</v>
      </c>
      <c r="B64" t="s">
        <v>140</v>
      </c>
      <c r="C64" t="s">
        <v>53</v>
      </c>
      <c r="D64">
        <v>2</v>
      </c>
      <c r="E64" t="s">
        <v>9</v>
      </c>
      <c r="F64" t="s">
        <v>143</v>
      </c>
      <c r="G64" t="str">
        <f>PROPER(TRIM(B64))</f>
        <v>Uknown Customer</v>
      </c>
      <c r="H64" t="str">
        <f t="shared" si="1"/>
        <v>Samuel</v>
      </c>
      <c r="I64">
        <f>_xlfn.XLOOKUP(C64,Product_List!$A$2:$A$100,Product_List!$C$2:$C$100)</f>
        <v>5000</v>
      </c>
      <c r="J64" t="str">
        <f>_xlfn.XLOOKUP(C64,Product_List!$A$2:$A$100,Product_List!$D$2:$D$100)</f>
        <v>Accessories</v>
      </c>
      <c r="K64" t="str">
        <f>_xlfn.XLOOKUP(E64,Employee_Targets!$A$2:$A$100,Employee_Targets!$B$2:$B$100)</f>
        <v>Retail</v>
      </c>
      <c r="L64">
        <f>_xlfn.XLOOKUP(E64,Employee_Targets!$A$2:$A$100,Employee_Targets!$C$2:$C$100)</f>
        <v>500000</v>
      </c>
      <c r="M64">
        <f t="shared" si="2"/>
        <v>10000</v>
      </c>
      <c r="N64" t="str">
        <f t="shared" si="3"/>
        <v>Not Achieved</v>
      </c>
    </row>
    <row r="65" spans="1:14" x14ac:dyDescent="0.25">
      <c r="A65" t="s">
        <v>87</v>
      </c>
      <c r="B65" t="s">
        <v>55</v>
      </c>
      <c r="C65" t="s">
        <v>30</v>
      </c>
      <c r="D65" t="s">
        <v>141</v>
      </c>
      <c r="E65" t="s">
        <v>17</v>
      </c>
      <c r="F65" t="s">
        <v>143</v>
      </c>
      <c r="G65" t="str">
        <f>PROPER(TRIM(B65))</f>
        <v>John Ade</v>
      </c>
      <c r="H65" t="str">
        <f t="shared" si="1"/>
        <v>Henry</v>
      </c>
      <c r="I65">
        <f>_xlfn.XLOOKUP(C65,Product_List!$A$2:$A$100,Product_List!$C$2:$C$100)</f>
        <v>350000</v>
      </c>
      <c r="J65" t="str">
        <f>_xlfn.XLOOKUP(C65,Product_List!$A$2:$A$100,Product_List!$D$2:$D$100)</f>
        <v>Electronics</v>
      </c>
      <c r="K65" t="e">
        <f>_xlfn.XLOOKUP(E65,Employee_Targets!$A$2:$A$100,Employee_Targets!$B$2:$B$100)</f>
        <v>#N/A</v>
      </c>
      <c r="L65" t="e">
        <f>_xlfn.XLOOKUP(E65,Employee_Targets!$A$2:$A$100,Employee_Targets!$C$2:$C$100)</f>
        <v>#N/A</v>
      </c>
      <c r="M65" t="e">
        <f t="shared" si="2"/>
        <v>#VALUE!</v>
      </c>
      <c r="N65" t="e">
        <f t="shared" si="3"/>
        <v>#VALUE!</v>
      </c>
    </row>
    <row r="66" spans="1:14" x14ac:dyDescent="0.25">
      <c r="A66" t="s">
        <v>88</v>
      </c>
      <c r="B66" t="s">
        <v>7</v>
      </c>
      <c r="C66" t="s">
        <v>8</v>
      </c>
      <c r="D66" t="s">
        <v>141</v>
      </c>
      <c r="E66" t="s">
        <v>9</v>
      </c>
      <c r="F66" t="s">
        <v>143</v>
      </c>
      <c r="G66" t="str">
        <f>PROPER(TRIM(B66))</f>
        <v>Ali Musa</v>
      </c>
      <c r="H66" t="str">
        <f t="shared" si="1"/>
        <v>Samuel</v>
      </c>
      <c r="I66">
        <f>_xlfn.XLOOKUP(C66,Product_List!$A$2:$A$100,Product_List!$C$2:$C$100)</f>
        <v>15000</v>
      </c>
      <c r="J66" t="str">
        <f>_xlfn.XLOOKUP(C66,Product_List!$A$2:$A$100,Product_List!$D$2:$D$100)</f>
        <v>Accessories</v>
      </c>
      <c r="K66" t="str">
        <f>_xlfn.XLOOKUP(E66,Employee_Targets!$A$2:$A$100,Employee_Targets!$B$2:$B$100)</f>
        <v>Retail</v>
      </c>
      <c r="L66">
        <f>_xlfn.XLOOKUP(E66,Employee_Targets!$A$2:$A$100,Employee_Targets!$C$2:$C$100)</f>
        <v>500000</v>
      </c>
      <c r="M66" t="e">
        <f t="shared" si="2"/>
        <v>#VALUE!</v>
      </c>
      <c r="N66" t="e">
        <f t="shared" si="3"/>
        <v>#VALUE!</v>
      </c>
    </row>
    <row r="67" spans="1:14" x14ac:dyDescent="0.25">
      <c r="A67" t="s">
        <v>89</v>
      </c>
      <c r="B67" t="s">
        <v>27</v>
      </c>
      <c r="C67" t="s">
        <v>8</v>
      </c>
      <c r="D67">
        <v>3</v>
      </c>
      <c r="E67" t="s">
        <v>9</v>
      </c>
      <c r="F67" t="s">
        <v>34</v>
      </c>
      <c r="G67" t="str">
        <f>PROPER(TRIM(B67))</f>
        <v>Mary Okon</v>
      </c>
      <c r="H67" t="str">
        <f t="shared" ref="H67:H101" si="4">PROPER(TRIM(E67))</f>
        <v>Samuel</v>
      </c>
      <c r="I67">
        <f>_xlfn.XLOOKUP(C67,Product_List!$A$2:$A$100,Product_List!$C$2:$C$100)</f>
        <v>15000</v>
      </c>
      <c r="J67" t="str">
        <f>_xlfn.XLOOKUP(C67,Product_List!$A$2:$A$100,Product_List!$D$2:$D$100)</f>
        <v>Accessories</v>
      </c>
      <c r="K67" t="str">
        <f>_xlfn.XLOOKUP(E67,Employee_Targets!$A$2:$A$100,Employee_Targets!$B$2:$B$100)</f>
        <v>Retail</v>
      </c>
      <c r="L67">
        <f>_xlfn.XLOOKUP(E67,Employee_Targets!$A$2:$A$100,Employee_Targets!$C$2:$C$100)</f>
        <v>500000</v>
      </c>
      <c r="M67">
        <f t="shared" ref="M67:M101" si="5">D67* I67</f>
        <v>45000</v>
      </c>
      <c r="N67" t="str">
        <f t="shared" ref="N67:N101" si="6">IF(M67&gt;=L67,"Achieved","Not Achieved")</f>
        <v>Not Achieved</v>
      </c>
    </row>
    <row r="68" spans="1:14" x14ac:dyDescent="0.25">
      <c r="A68" t="s">
        <v>90</v>
      </c>
      <c r="B68" t="s">
        <v>11</v>
      </c>
      <c r="C68" t="s">
        <v>14</v>
      </c>
      <c r="D68">
        <v>1</v>
      </c>
      <c r="E68" t="s">
        <v>9</v>
      </c>
      <c r="F68" t="s">
        <v>143</v>
      </c>
      <c r="G68" t="str">
        <f>PROPER(TRIM(B68))</f>
        <v>Amina Bello</v>
      </c>
      <c r="H68" t="str">
        <f t="shared" si="4"/>
        <v>Samuel</v>
      </c>
      <c r="I68">
        <f>_xlfn.XLOOKUP(C68,Product_List!$A$2:$A$100,Product_List!$C$2:$C$100)</f>
        <v>90000</v>
      </c>
      <c r="J68" t="str">
        <f>_xlfn.XLOOKUP(C68,Product_List!$A$2:$A$100,Product_List!$D$2:$D$100)</f>
        <v>Electronics</v>
      </c>
      <c r="K68" t="str">
        <f>_xlfn.XLOOKUP(E68,Employee_Targets!$A$2:$A$100,Employee_Targets!$B$2:$B$100)</f>
        <v>Retail</v>
      </c>
      <c r="L68">
        <f>_xlfn.XLOOKUP(E68,Employee_Targets!$A$2:$A$100,Employee_Targets!$C$2:$C$100)</f>
        <v>500000</v>
      </c>
      <c r="M68">
        <f t="shared" si="5"/>
        <v>90000</v>
      </c>
      <c r="N68" t="str">
        <f t="shared" si="6"/>
        <v>Not Achieved</v>
      </c>
    </row>
    <row r="69" spans="1:14" x14ac:dyDescent="0.25">
      <c r="A69" t="s">
        <v>91</v>
      </c>
      <c r="B69" t="s">
        <v>55</v>
      </c>
      <c r="D69">
        <v>1</v>
      </c>
      <c r="E69" t="s">
        <v>9</v>
      </c>
      <c r="F69" t="s">
        <v>34</v>
      </c>
      <c r="G69" t="str">
        <f>PROPER(TRIM(B69))</f>
        <v>John Ade</v>
      </c>
      <c r="H69" t="str">
        <f t="shared" si="4"/>
        <v>Samuel</v>
      </c>
      <c r="I69">
        <f>_xlfn.XLOOKUP(C69,Product_List!$A$2:$A$100,Product_List!$C$2:$C$100)</f>
        <v>0</v>
      </c>
      <c r="J69">
        <f>_xlfn.XLOOKUP(C69,Product_List!$A$2:$A$100,Product_List!$D$2:$D$100)</f>
        <v>0</v>
      </c>
      <c r="K69" t="str">
        <f>_xlfn.XLOOKUP(E69,Employee_Targets!$A$2:$A$100,Employee_Targets!$B$2:$B$100)</f>
        <v>Retail</v>
      </c>
      <c r="L69">
        <f>_xlfn.XLOOKUP(E69,Employee_Targets!$A$2:$A$100,Employee_Targets!$C$2:$C$100)</f>
        <v>500000</v>
      </c>
      <c r="M69">
        <f t="shared" si="5"/>
        <v>0</v>
      </c>
      <c r="N69" t="str">
        <f t="shared" si="6"/>
        <v>Not Achieved</v>
      </c>
    </row>
    <row r="70" spans="1:14" x14ac:dyDescent="0.25">
      <c r="A70" t="s">
        <v>92</v>
      </c>
      <c r="B70" t="s">
        <v>11</v>
      </c>
      <c r="C70" t="s">
        <v>53</v>
      </c>
      <c r="D70">
        <v>4</v>
      </c>
      <c r="E70" t="s">
        <v>9</v>
      </c>
      <c r="F70" t="s">
        <v>28</v>
      </c>
      <c r="G70" t="str">
        <f>PROPER(TRIM(B70))</f>
        <v>Amina Bello</v>
      </c>
      <c r="H70" t="str">
        <f t="shared" si="4"/>
        <v>Samuel</v>
      </c>
      <c r="I70">
        <f>_xlfn.XLOOKUP(C70,Product_List!$A$2:$A$100,Product_List!$C$2:$C$100)</f>
        <v>5000</v>
      </c>
      <c r="J70" t="str">
        <f>_xlfn.XLOOKUP(C70,Product_List!$A$2:$A$100,Product_List!$D$2:$D$100)</f>
        <v>Accessories</v>
      </c>
      <c r="K70" t="str">
        <f>_xlfn.XLOOKUP(E70,Employee_Targets!$A$2:$A$100,Employee_Targets!$B$2:$B$100)</f>
        <v>Retail</v>
      </c>
      <c r="L70">
        <f>_xlfn.XLOOKUP(E70,Employee_Targets!$A$2:$A$100,Employee_Targets!$C$2:$C$100)</f>
        <v>500000</v>
      </c>
      <c r="M70">
        <f t="shared" si="5"/>
        <v>20000</v>
      </c>
      <c r="N70" t="str">
        <f t="shared" si="6"/>
        <v>Not Achieved</v>
      </c>
    </row>
    <row r="71" spans="1:14" x14ac:dyDescent="0.25">
      <c r="A71" t="s">
        <v>93</v>
      </c>
      <c r="B71" t="s">
        <v>42</v>
      </c>
      <c r="C71" t="s">
        <v>30</v>
      </c>
      <c r="D71">
        <v>3</v>
      </c>
      <c r="E71" t="s">
        <v>9</v>
      </c>
      <c r="F71" t="s">
        <v>143</v>
      </c>
      <c r="G71" t="str">
        <f>PROPER(TRIM(B71))</f>
        <v>Grace</v>
      </c>
      <c r="H71" t="str">
        <f t="shared" si="4"/>
        <v>Samuel</v>
      </c>
      <c r="I71">
        <f>_xlfn.XLOOKUP(C71,Product_List!$A$2:$A$100,Product_List!$C$2:$C$100)</f>
        <v>350000</v>
      </c>
      <c r="J71" t="str">
        <f>_xlfn.XLOOKUP(C71,Product_List!$A$2:$A$100,Product_List!$D$2:$D$100)</f>
        <v>Electronics</v>
      </c>
      <c r="K71" t="str">
        <f>_xlfn.XLOOKUP(E71,Employee_Targets!$A$2:$A$100,Employee_Targets!$B$2:$B$100)</f>
        <v>Retail</v>
      </c>
      <c r="L71">
        <f>_xlfn.XLOOKUP(E71,Employee_Targets!$A$2:$A$100,Employee_Targets!$C$2:$C$100)</f>
        <v>500000</v>
      </c>
      <c r="M71">
        <f t="shared" si="5"/>
        <v>1050000</v>
      </c>
      <c r="N71" t="str">
        <f t="shared" si="6"/>
        <v>Achieved</v>
      </c>
    </row>
    <row r="72" spans="1:14" x14ac:dyDescent="0.25">
      <c r="A72" t="s">
        <v>94</v>
      </c>
      <c r="B72" t="s">
        <v>27</v>
      </c>
      <c r="C72" t="s">
        <v>14</v>
      </c>
      <c r="D72" t="s">
        <v>141</v>
      </c>
      <c r="E72" t="s">
        <v>24</v>
      </c>
      <c r="F72" t="s">
        <v>34</v>
      </c>
      <c r="G72" t="str">
        <f>PROPER(TRIM(B72))</f>
        <v>Mary Okon</v>
      </c>
      <c r="H72" t="str">
        <f t="shared" si="4"/>
        <v>Emma</v>
      </c>
      <c r="I72">
        <f>_xlfn.XLOOKUP(C72,Product_List!$A$2:$A$100,Product_List!$C$2:$C$100)</f>
        <v>90000</v>
      </c>
      <c r="J72" t="str">
        <f>_xlfn.XLOOKUP(C72,Product_List!$A$2:$A$100,Product_List!$D$2:$D$100)</f>
        <v>Electronics</v>
      </c>
      <c r="K72" t="str">
        <f>_xlfn.XLOOKUP(E72,Employee_Targets!$A$2:$A$100,Employee_Targets!$B$2:$B$100)</f>
        <v>Retail</v>
      </c>
      <c r="L72">
        <f>_xlfn.XLOOKUP(E72,Employee_Targets!$A$2:$A$100,Employee_Targets!$C$2:$C$100)</f>
        <v>200000</v>
      </c>
      <c r="M72" t="e">
        <f t="shared" si="5"/>
        <v>#VALUE!</v>
      </c>
      <c r="N72" t="e">
        <f t="shared" si="6"/>
        <v>#VALUE!</v>
      </c>
    </row>
    <row r="73" spans="1:14" x14ac:dyDescent="0.25">
      <c r="A73" t="s">
        <v>95</v>
      </c>
      <c r="B73" t="s">
        <v>27</v>
      </c>
      <c r="D73">
        <v>5</v>
      </c>
      <c r="E73" t="s">
        <v>9</v>
      </c>
      <c r="F73" t="s">
        <v>28</v>
      </c>
      <c r="G73" t="str">
        <f>PROPER(TRIM(B73))</f>
        <v>Mary Okon</v>
      </c>
      <c r="H73" t="str">
        <f t="shared" si="4"/>
        <v>Samuel</v>
      </c>
      <c r="I73">
        <f>_xlfn.XLOOKUP(C73,Product_List!$A$2:$A$100,Product_List!$C$2:$C$100)</f>
        <v>0</v>
      </c>
      <c r="J73">
        <f>_xlfn.XLOOKUP(C73,Product_List!$A$2:$A$100,Product_List!$D$2:$D$100)</f>
        <v>0</v>
      </c>
      <c r="K73" t="str">
        <f>_xlfn.XLOOKUP(E73,Employee_Targets!$A$2:$A$100,Employee_Targets!$B$2:$B$100)</f>
        <v>Retail</v>
      </c>
      <c r="L73">
        <f>_xlfn.XLOOKUP(E73,Employee_Targets!$A$2:$A$100,Employee_Targets!$C$2:$C$100)</f>
        <v>500000</v>
      </c>
      <c r="M73">
        <f t="shared" si="5"/>
        <v>0</v>
      </c>
      <c r="N73" t="str">
        <f t="shared" si="6"/>
        <v>Not Achieved</v>
      </c>
    </row>
    <row r="74" spans="1:14" x14ac:dyDescent="0.25">
      <c r="A74" t="s">
        <v>96</v>
      </c>
      <c r="B74" t="s">
        <v>55</v>
      </c>
      <c r="C74" t="s">
        <v>14</v>
      </c>
      <c r="D74">
        <v>3</v>
      </c>
      <c r="E74" t="s">
        <v>24</v>
      </c>
      <c r="F74" t="s">
        <v>143</v>
      </c>
      <c r="G74" t="str">
        <f>PROPER(TRIM(B74))</f>
        <v>John Ade</v>
      </c>
      <c r="H74" t="str">
        <f t="shared" si="4"/>
        <v>Emma</v>
      </c>
      <c r="I74">
        <f>_xlfn.XLOOKUP(C74,Product_List!$A$2:$A$100,Product_List!$C$2:$C$100)</f>
        <v>90000</v>
      </c>
      <c r="J74" t="str">
        <f>_xlfn.XLOOKUP(C74,Product_List!$A$2:$A$100,Product_List!$D$2:$D$100)</f>
        <v>Electronics</v>
      </c>
      <c r="K74" t="str">
        <f>_xlfn.XLOOKUP(E74,Employee_Targets!$A$2:$A$100,Employee_Targets!$B$2:$B$100)</f>
        <v>Retail</v>
      </c>
      <c r="L74">
        <f>_xlfn.XLOOKUP(E74,Employee_Targets!$A$2:$A$100,Employee_Targets!$C$2:$C$100)</f>
        <v>200000</v>
      </c>
      <c r="M74">
        <f t="shared" si="5"/>
        <v>270000</v>
      </c>
      <c r="N74" t="str">
        <f t="shared" si="6"/>
        <v>Achieved</v>
      </c>
    </row>
    <row r="75" spans="1:14" x14ac:dyDescent="0.25">
      <c r="A75" t="s">
        <v>97</v>
      </c>
      <c r="B75" t="s">
        <v>27</v>
      </c>
      <c r="C75" t="s">
        <v>21</v>
      </c>
      <c r="D75">
        <v>4</v>
      </c>
      <c r="E75" t="s">
        <v>9</v>
      </c>
      <c r="F75" t="s">
        <v>143</v>
      </c>
      <c r="G75" t="str">
        <f>PROPER(TRIM(B75))</f>
        <v>Mary Okon</v>
      </c>
      <c r="H75" t="str">
        <f t="shared" si="4"/>
        <v>Samuel</v>
      </c>
      <c r="I75">
        <f>_xlfn.XLOOKUP(C75,Product_List!$A$2:$A$100,Product_List!$C$2:$C$100)</f>
        <v>45000</v>
      </c>
      <c r="J75" t="str">
        <f>_xlfn.XLOOKUP(C75,Product_List!$A$2:$A$100,Product_List!$D$2:$D$100)</f>
        <v>Electronics</v>
      </c>
      <c r="K75" t="str">
        <f>_xlfn.XLOOKUP(E75,Employee_Targets!$A$2:$A$100,Employee_Targets!$B$2:$B$100)</f>
        <v>Retail</v>
      </c>
      <c r="L75">
        <f>_xlfn.XLOOKUP(E75,Employee_Targets!$A$2:$A$100,Employee_Targets!$C$2:$C$100)</f>
        <v>500000</v>
      </c>
      <c r="M75">
        <f t="shared" si="5"/>
        <v>180000</v>
      </c>
      <c r="N75" t="str">
        <f t="shared" si="6"/>
        <v>Not Achieved</v>
      </c>
    </row>
    <row r="76" spans="1:14" x14ac:dyDescent="0.25">
      <c r="A76" t="s">
        <v>98</v>
      </c>
      <c r="B76" t="s">
        <v>140</v>
      </c>
      <c r="D76">
        <v>4</v>
      </c>
      <c r="E76" t="s">
        <v>9</v>
      </c>
      <c r="F76" t="s">
        <v>28</v>
      </c>
      <c r="G76" t="str">
        <f>PROPER(TRIM(B76))</f>
        <v>Uknown Customer</v>
      </c>
      <c r="H76" t="str">
        <f t="shared" si="4"/>
        <v>Samuel</v>
      </c>
      <c r="I76">
        <f>_xlfn.XLOOKUP(C76,Product_List!$A$2:$A$100,Product_List!$C$2:$C$100)</f>
        <v>0</v>
      </c>
      <c r="J76">
        <f>_xlfn.XLOOKUP(C76,Product_List!$A$2:$A$100,Product_List!$D$2:$D$100)</f>
        <v>0</v>
      </c>
      <c r="K76" t="str">
        <f>_xlfn.XLOOKUP(E76,Employee_Targets!$A$2:$A$100,Employee_Targets!$B$2:$B$100)</f>
        <v>Retail</v>
      </c>
      <c r="L76">
        <f>_xlfn.XLOOKUP(E76,Employee_Targets!$A$2:$A$100,Employee_Targets!$C$2:$C$100)</f>
        <v>500000</v>
      </c>
      <c r="M76">
        <f t="shared" si="5"/>
        <v>0</v>
      </c>
      <c r="N76" t="str">
        <f t="shared" si="6"/>
        <v>Not Achieved</v>
      </c>
    </row>
    <row r="77" spans="1:14" x14ac:dyDescent="0.25">
      <c r="A77" t="s">
        <v>99</v>
      </c>
      <c r="B77" t="s">
        <v>27</v>
      </c>
      <c r="D77">
        <v>3</v>
      </c>
      <c r="E77" t="s">
        <v>9</v>
      </c>
      <c r="F77" t="s">
        <v>143</v>
      </c>
      <c r="G77" t="str">
        <f>PROPER(TRIM(B77))</f>
        <v>Mary Okon</v>
      </c>
      <c r="H77" t="str">
        <f t="shared" si="4"/>
        <v>Samuel</v>
      </c>
      <c r="I77">
        <f>_xlfn.XLOOKUP(C77,Product_List!$A$2:$A$100,Product_List!$C$2:$C$100)</f>
        <v>0</v>
      </c>
      <c r="J77">
        <f>_xlfn.XLOOKUP(C77,Product_List!$A$2:$A$100,Product_List!$D$2:$D$100)</f>
        <v>0</v>
      </c>
      <c r="K77" t="str">
        <f>_xlfn.XLOOKUP(E77,Employee_Targets!$A$2:$A$100,Employee_Targets!$B$2:$B$100)</f>
        <v>Retail</v>
      </c>
      <c r="L77">
        <f>_xlfn.XLOOKUP(E77,Employee_Targets!$A$2:$A$100,Employee_Targets!$C$2:$C$100)</f>
        <v>500000</v>
      </c>
      <c r="M77">
        <f t="shared" si="5"/>
        <v>0</v>
      </c>
      <c r="N77" t="str">
        <f t="shared" si="6"/>
        <v>Not Achieved</v>
      </c>
    </row>
    <row r="78" spans="1:14" x14ac:dyDescent="0.25">
      <c r="A78" t="s">
        <v>100</v>
      </c>
      <c r="B78" t="s">
        <v>11</v>
      </c>
      <c r="C78" t="s">
        <v>53</v>
      </c>
      <c r="D78">
        <v>4</v>
      </c>
      <c r="E78" t="s">
        <v>9</v>
      </c>
      <c r="F78" t="s">
        <v>28</v>
      </c>
      <c r="G78" t="str">
        <f>PROPER(TRIM(B78))</f>
        <v>Amina Bello</v>
      </c>
      <c r="H78" t="str">
        <f t="shared" si="4"/>
        <v>Samuel</v>
      </c>
      <c r="I78">
        <f>_xlfn.XLOOKUP(C78,Product_List!$A$2:$A$100,Product_List!$C$2:$C$100)</f>
        <v>5000</v>
      </c>
      <c r="J78" t="str">
        <f>_xlfn.XLOOKUP(C78,Product_List!$A$2:$A$100,Product_List!$D$2:$D$100)</f>
        <v>Accessories</v>
      </c>
      <c r="K78" t="str">
        <f>_xlfn.XLOOKUP(E78,Employee_Targets!$A$2:$A$100,Employee_Targets!$B$2:$B$100)</f>
        <v>Retail</v>
      </c>
      <c r="L78">
        <f>_xlfn.XLOOKUP(E78,Employee_Targets!$A$2:$A$100,Employee_Targets!$C$2:$C$100)</f>
        <v>500000</v>
      </c>
      <c r="M78">
        <f t="shared" si="5"/>
        <v>20000</v>
      </c>
      <c r="N78" t="str">
        <f t="shared" si="6"/>
        <v>Not Achieved</v>
      </c>
    </row>
    <row r="79" spans="1:14" x14ac:dyDescent="0.25">
      <c r="A79" t="s">
        <v>101</v>
      </c>
      <c r="B79" t="s">
        <v>11</v>
      </c>
      <c r="D79">
        <v>3</v>
      </c>
      <c r="E79" t="s">
        <v>17</v>
      </c>
      <c r="F79" t="s">
        <v>34</v>
      </c>
      <c r="G79" t="str">
        <f>PROPER(TRIM(B79))</f>
        <v>Amina Bello</v>
      </c>
      <c r="H79" t="str">
        <f t="shared" si="4"/>
        <v>Henry</v>
      </c>
      <c r="I79">
        <f>_xlfn.XLOOKUP(C79,Product_List!$A$2:$A$100,Product_List!$C$2:$C$100)</f>
        <v>0</v>
      </c>
      <c r="J79">
        <f>_xlfn.XLOOKUP(C79,Product_List!$A$2:$A$100,Product_List!$D$2:$D$100)</f>
        <v>0</v>
      </c>
      <c r="K79" t="e">
        <f>_xlfn.XLOOKUP(E79,Employee_Targets!$A$2:$A$100,Employee_Targets!$B$2:$B$100)</f>
        <v>#N/A</v>
      </c>
      <c r="L79" t="e">
        <f>_xlfn.XLOOKUP(E79,Employee_Targets!$A$2:$A$100,Employee_Targets!$C$2:$C$100)</f>
        <v>#N/A</v>
      </c>
      <c r="M79">
        <f t="shared" si="5"/>
        <v>0</v>
      </c>
      <c r="N79" t="e">
        <f t="shared" si="6"/>
        <v>#N/A</v>
      </c>
    </row>
    <row r="80" spans="1:14" x14ac:dyDescent="0.25">
      <c r="A80" t="s">
        <v>102</v>
      </c>
      <c r="B80" t="s">
        <v>7</v>
      </c>
      <c r="C80" t="s">
        <v>14</v>
      </c>
      <c r="D80">
        <v>2</v>
      </c>
      <c r="E80" t="s">
        <v>9</v>
      </c>
      <c r="F80" t="s">
        <v>34</v>
      </c>
      <c r="G80" t="str">
        <f>PROPER(TRIM(B80))</f>
        <v>Ali Musa</v>
      </c>
      <c r="H80" t="str">
        <f t="shared" si="4"/>
        <v>Samuel</v>
      </c>
      <c r="I80">
        <f>_xlfn.XLOOKUP(C80,Product_List!$A$2:$A$100,Product_List!$C$2:$C$100)</f>
        <v>90000</v>
      </c>
      <c r="J80" t="str">
        <f>_xlfn.XLOOKUP(C80,Product_List!$A$2:$A$100,Product_List!$D$2:$D$100)</f>
        <v>Electronics</v>
      </c>
      <c r="K80" t="str">
        <f>_xlfn.XLOOKUP(E80,Employee_Targets!$A$2:$A$100,Employee_Targets!$B$2:$B$100)</f>
        <v>Retail</v>
      </c>
      <c r="L80">
        <f>_xlfn.XLOOKUP(E80,Employee_Targets!$A$2:$A$100,Employee_Targets!$C$2:$C$100)</f>
        <v>500000</v>
      </c>
      <c r="M80">
        <f t="shared" si="5"/>
        <v>180000</v>
      </c>
      <c r="N80" t="str">
        <f t="shared" si="6"/>
        <v>Not Achieved</v>
      </c>
    </row>
    <row r="81" spans="1:14" x14ac:dyDescent="0.25">
      <c r="A81" t="s">
        <v>103</v>
      </c>
      <c r="B81" t="s">
        <v>11</v>
      </c>
      <c r="D81">
        <v>3</v>
      </c>
      <c r="E81" t="s">
        <v>17</v>
      </c>
      <c r="F81" t="s">
        <v>28</v>
      </c>
      <c r="G81" t="str">
        <f>PROPER(TRIM(B81))</f>
        <v>Amina Bello</v>
      </c>
      <c r="H81" t="str">
        <f t="shared" si="4"/>
        <v>Henry</v>
      </c>
      <c r="I81">
        <f>_xlfn.XLOOKUP(C81,Product_List!$A$2:$A$100,Product_List!$C$2:$C$100)</f>
        <v>0</v>
      </c>
      <c r="J81">
        <f>_xlfn.XLOOKUP(C81,Product_List!$A$2:$A$100,Product_List!$D$2:$D$100)</f>
        <v>0</v>
      </c>
      <c r="K81" t="e">
        <f>_xlfn.XLOOKUP(E81,Employee_Targets!$A$2:$A$100,Employee_Targets!$B$2:$B$100)</f>
        <v>#N/A</v>
      </c>
      <c r="L81" t="e">
        <f>_xlfn.XLOOKUP(E81,Employee_Targets!$A$2:$A$100,Employee_Targets!$C$2:$C$100)</f>
        <v>#N/A</v>
      </c>
      <c r="M81">
        <f t="shared" si="5"/>
        <v>0</v>
      </c>
      <c r="N81" t="e">
        <f t="shared" si="6"/>
        <v>#N/A</v>
      </c>
    </row>
    <row r="82" spans="1:14" x14ac:dyDescent="0.25">
      <c r="A82" t="s">
        <v>104</v>
      </c>
      <c r="B82" t="s">
        <v>7</v>
      </c>
      <c r="C82" t="s">
        <v>53</v>
      </c>
      <c r="D82">
        <v>3</v>
      </c>
      <c r="E82" t="s">
        <v>9</v>
      </c>
      <c r="F82" t="s">
        <v>34</v>
      </c>
      <c r="G82" t="str">
        <f>PROPER(TRIM(B82))</f>
        <v>Ali Musa</v>
      </c>
      <c r="H82" t="str">
        <f t="shared" si="4"/>
        <v>Samuel</v>
      </c>
      <c r="I82">
        <f>_xlfn.XLOOKUP(C82,Product_List!$A$2:$A$100,Product_List!$C$2:$C$100)</f>
        <v>5000</v>
      </c>
      <c r="J82" t="str">
        <f>_xlfn.XLOOKUP(C82,Product_List!$A$2:$A$100,Product_List!$D$2:$D$100)</f>
        <v>Accessories</v>
      </c>
      <c r="K82" t="str">
        <f>_xlfn.XLOOKUP(E82,Employee_Targets!$A$2:$A$100,Employee_Targets!$B$2:$B$100)</f>
        <v>Retail</v>
      </c>
      <c r="L82">
        <f>_xlfn.XLOOKUP(E82,Employee_Targets!$A$2:$A$100,Employee_Targets!$C$2:$C$100)</f>
        <v>500000</v>
      </c>
      <c r="M82">
        <f t="shared" si="5"/>
        <v>15000</v>
      </c>
      <c r="N82" t="str">
        <f t="shared" si="6"/>
        <v>Not Achieved</v>
      </c>
    </row>
    <row r="83" spans="1:14" x14ac:dyDescent="0.25">
      <c r="A83" t="s">
        <v>105</v>
      </c>
      <c r="B83" t="s">
        <v>11</v>
      </c>
      <c r="C83" t="s">
        <v>53</v>
      </c>
      <c r="D83">
        <v>4</v>
      </c>
      <c r="E83" t="s">
        <v>17</v>
      </c>
      <c r="F83" t="s">
        <v>34</v>
      </c>
      <c r="G83" t="str">
        <f>PROPER(TRIM(B83))</f>
        <v>Amina Bello</v>
      </c>
      <c r="H83" t="str">
        <f t="shared" si="4"/>
        <v>Henry</v>
      </c>
      <c r="I83">
        <f>_xlfn.XLOOKUP(C83,Product_List!$A$2:$A$100,Product_List!$C$2:$C$100)</f>
        <v>5000</v>
      </c>
      <c r="J83" t="str">
        <f>_xlfn.XLOOKUP(C83,Product_List!$A$2:$A$100,Product_List!$D$2:$D$100)</f>
        <v>Accessories</v>
      </c>
      <c r="K83" t="e">
        <f>_xlfn.XLOOKUP(E83,Employee_Targets!$A$2:$A$100,Employee_Targets!$B$2:$B$100)</f>
        <v>#N/A</v>
      </c>
      <c r="L83" t="e">
        <f>_xlfn.XLOOKUP(E83,Employee_Targets!$A$2:$A$100,Employee_Targets!$C$2:$C$100)</f>
        <v>#N/A</v>
      </c>
      <c r="M83">
        <f t="shared" si="5"/>
        <v>20000</v>
      </c>
      <c r="N83" t="e">
        <f t="shared" si="6"/>
        <v>#N/A</v>
      </c>
    </row>
    <row r="84" spans="1:14" x14ac:dyDescent="0.25">
      <c r="A84" t="s">
        <v>106</v>
      </c>
      <c r="B84" t="s">
        <v>140</v>
      </c>
      <c r="C84" t="s">
        <v>21</v>
      </c>
      <c r="D84">
        <v>4</v>
      </c>
      <c r="E84" t="s">
        <v>24</v>
      </c>
      <c r="F84" t="s">
        <v>34</v>
      </c>
      <c r="G84" t="str">
        <f>PROPER(TRIM(B84))</f>
        <v>Uknown Customer</v>
      </c>
      <c r="H84" t="str">
        <f t="shared" si="4"/>
        <v>Emma</v>
      </c>
      <c r="I84">
        <f>_xlfn.XLOOKUP(C84,Product_List!$A$2:$A$100,Product_List!$C$2:$C$100)</f>
        <v>45000</v>
      </c>
      <c r="J84" t="str">
        <f>_xlfn.XLOOKUP(C84,Product_List!$A$2:$A$100,Product_List!$D$2:$D$100)</f>
        <v>Electronics</v>
      </c>
      <c r="K84" t="str">
        <f>_xlfn.XLOOKUP(E84,Employee_Targets!$A$2:$A$100,Employee_Targets!$B$2:$B$100)</f>
        <v>Retail</v>
      </c>
      <c r="L84">
        <f>_xlfn.XLOOKUP(E84,Employee_Targets!$A$2:$A$100,Employee_Targets!$C$2:$C$100)</f>
        <v>200000</v>
      </c>
      <c r="M84">
        <f t="shared" si="5"/>
        <v>180000</v>
      </c>
      <c r="N84" t="str">
        <f t="shared" si="6"/>
        <v>Not Achieved</v>
      </c>
    </row>
    <row r="85" spans="1:14" x14ac:dyDescent="0.25">
      <c r="A85" t="s">
        <v>107</v>
      </c>
      <c r="B85" t="s">
        <v>140</v>
      </c>
      <c r="C85" t="s">
        <v>14</v>
      </c>
      <c r="D85">
        <v>1</v>
      </c>
      <c r="E85" t="s">
        <v>9</v>
      </c>
      <c r="F85" t="s">
        <v>15</v>
      </c>
      <c r="G85" t="str">
        <f>PROPER(TRIM(B85))</f>
        <v>Uknown Customer</v>
      </c>
      <c r="H85" t="str">
        <f t="shared" si="4"/>
        <v>Samuel</v>
      </c>
      <c r="I85">
        <f>_xlfn.XLOOKUP(C85,Product_List!$A$2:$A$100,Product_List!$C$2:$C$100)</f>
        <v>90000</v>
      </c>
      <c r="J85" t="str">
        <f>_xlfn.XLOOKUP(C85,Product_List!$A$2:$A$100,Product_List!$D$2:$D$100)</f>
        <v>Electronics</v>
      </c>
      <c r="K85" t="str">
        <f>_xlfn.XLOOKUP(E85,Employee_Targets!$A$2:$A$100,Employee_Targets!$B$2:$B$100)</f>
        <v>Retail</v>
      </c>
      <c r="L85">
        <f>_xlfn.XLOOKUP(E85,Employee_Targets!$A$2:$A$100,Employee_Targets!$C$2:$C$100)</f>
        <v>500000</v>
      </c>
      <c r="M85">
        <f t="shared" si="5"/>
        <v>90000</v>
      </c>
      <c r="N85" t="str">
        <f t="shared" si="6"/>
        <v>Not Achieved</v>
      </c>
    </row>
    <row r="86" spans="1:14" x14ac:dyDescent="0.25">
      <c r="A86" t="s">
        <v>108</v>
      </c>
      <c r="B86" t="s">
        <v>7</v>
      </c>
      <c r="C86" t="s">
        <v>8</v>
      </c>
      <c r="D86">
        <v>1</v>
      </c>
      <c r="E86" t="s">
        <v>9</v>
      </c>
      <c r="F86" t="s">
        <v>143</v>
      </c>
      <c r="G86" t="str">
        <f>PROPER(TRIM(B86))</f>
        <v>Ali Musa</v>
      </c>
      <c r="H86" t="str">
        <f t="shared" si="4"/>
        <v>Samuel</v>
      </c>
      <c r="I86">
        <f>_xlfn.XLOOKUP(C86,Product_List!$A$2:$A$100,Product_List!$C$2:$C$100)</f>
        <v>15000</v>
      </c>
      <c r="J86" t="str">
        <f>_xlfn.XLOOKUP(C86,Product_List!$A$2:$A$100,Product_List!$D$2:$D$100)</f>
        <v>Accessories</v>
      </c>
      <c r="K86" t="str">
        <f>_xlfn.XLOOKUP(E86,Employee_Targets!$A$2:$A$100,Employee_Targets!$B$2:$B$100)</f>
        <v>Retail</v>
      </c>
      <c r="L86">
        <f>_xlfn.XLOOKUP(E86,Employee_Targets!$A$2:$A$100,Employee_Targets!$C$2:$C$100)</f>
        <v>500000</v>
      </c>
      <c r="M86">
        <f t="shared" si="5"/>
        <v>15000</v>
      </c>
      <c r="N86" t="str">
        <f t="shared" si="6"/>
        <v>Not Achieved</v>
      </c>
    </row>
    <row r="87" spans="1:14" x14ac:dyDescent="0.25">
      <c r="A87" t="s">
        <v>109</v>
      </c>
      <c r="B87" t="s">
        <v>19</v>
      </c>
      <c r="C87" t="s">
        <v>8</v>
      </c>
      <c r="D87">
        <v>2</v>
      </c>
      <c r="E87" t="s">
        <v>9</v>
      </c>
      <c r="F87" t="s">
        <v>143</v>
      </c>
      <c r="G87" t="str">
        <f>PROPER(TRIM(B87))</f>
        <v>Peter Yusuf</v>
      </c>
      <c r="H87" t="str">
        <f t="shared" si="4"/>
        <v>Samuel</v>
      </c>
      <c r="I87">
        <f>_xlfn.XLOOKUP(C87,Product_List!$A$2:$A$100,Product_List!$C$2:$C$100)</f>
        <v>15000</v>
      </c>
      <c r="J87" t="str">
        <f>_xlfn.XLOOKUP(C87,Product_List!$A$2:$A$100,Product_List!$D$2:$D$100)</f>
        <v>Accessories</v>
      </c>
      <c r="K87" t="str">
        <f>_xlfn.XLOOKUP(E87,Employee_Targets!$A$2:$A$100,Employee_Targets!$B$2:$B$100)</f>
        <v>Retail</v>
      </c>
      <c r="L87">
        <f>_xlfn.XLOOKUP(E87,Employee_Targets!$A$2:$A$100,Employee_Targets!$C$2:$C$100)</f>
        <v>500000</v>
      </c>
      <c r="M87">
        <f t="shared" si="5"/>
        <v>30000</v>
      </c>
      <c r="N87" t="str">
        <f t="shared" si="6"/>
        <v>Not Achieved</v>
      </c>
    </row>
    <row r="88" spans="1:14" x14ac:dyDescent="0.25">
      <c r="A88" t="s">
        <v>110</v>
      </c>
      <c r="B88" t="s">
        <v>42</v>
      </c>
      <c r="D88">
        <v>1</v>
      </c>
      <c r="E88" t="s">
        <v>9</v>
      </c>
      <c r="F88" t="s">
        <v>15</v>
      </c>
      <c r="G88" t="str">
        <f>PROPER(TRIM(B88))</f>
        <v>Grace</v>
      </c>
      <c r="H88" t="str">
        <f t="shared" si="4"/>
        <v>Samuel</v>
      </c>
      <c r="I88">
        <f>_xlfn.XLOOKUP(C88,Product_List!$A$2:$A$100,Product_List!$C$2:$C$100)</f>
        <v>0</v>
      </c>
      <c r="J88">
        <f>_xlfn.XLOOKUP(C88,Product_List!$A$2:$A$100,Product_List!$D$2:$D$100)</f>
        <v>0</v>
      </c>
      <c r="K88" t="str">
        <f>_xlfn.XLOOKUP(E88,Employee_Targets!$A$2:$A$100,Employee_Targets!$B$2:$B$100)</f>
        <v>Retail</v>
      </c>
      <c r="L88">
        <f>_xlfn.XLOOKUP(E88,Employee_Targets!$A$2:$A$100,Employee_Targets!$C$2:$C$100)</f>
        <v>500000</v>
      </c>
      <c r="M88">
        <f t="shared" si="5"/>
        <v>0</v>
      </c>
      <c r="N88" t="str">
        <f t="shared" si="6"/>
        <v>Not Achieved</v>
      </c>
    </row>
    <row r="89" spans="1:14" x14ac:dyDescent="0.25">
      <c r="A89" t="s">
        <v>111</v>
      </c>
      <c r="B89" t="s">
        <v>55</v>
      </c>
      <c r="C89" t="s">
        <v>21</v>
      </c>
      <c r="D89">
        <v>3</v>
      </c>
      <c r="E89" t="s">
        <v>9</v>
      </c>
      <c r="F89" t="s">
        <v>143</v>
      </c>
      <c r="G89" t="str">
        <f>PROPER(TRIM(B89))</f>
        <v>John Ade</v>
      </c>
      <c r="H89" t="str">
        <f t="shared" si="4"/>
        <v>Samuel</v>
      </c>
      <c r="I89">
        <f>_xlfn.XLOOKUP(C89,Product_List!$A$2:$A$100,Product_List!$C$2:$C$100)</f>
        <v>45000</v>
      </c>
      <c r="J89" t="str">
        <f>_xlfn.XLOOKUP(C89,Product_List!$A$2:$A$100,Product_List!$D$2:$D$100)</f>
        <v>Electronics</v>
      </c>
      <c r="K89" t="str">
        <f>_xlfn.XLOOKUP(E89,Employee_Targets!$A$2:$A$100,Employee_Targets!$B$2:$B$100)</f>
        <v>Retail</v>
      </c>
      <c r="L89">
        <f>_xlfn.XLOOKUP(E89,Employee_Targets!$A$2:$A$100,Employee_Targets!$C$2:$C$100)</f>
        <v>500000</v>
      </c>
      <c r="M89">
        <f t="shared" si="5"/>
        <v>135000</v>
      </c>
      <c r="N89" t="str">
        <f t="shared" si="6"/>
        <v>Not Achieved</v>
      </c>
    </row>
    <row r="90" spans="1:14" x14ac:dyDescent="0.25">
      <c r="A90" t="s">
        <v>112</v>
      </c>
      <c r="B90" t="s">
        <v>11</v>
      </c>
      <c r="C90" t="s">
        <v>30</v>
      </c>
      <c r="D90">
        <v>4</v>
      </c>
      <c r="E90" t="s">
        <v>17</v>
      </c>
      <c r="F90" t="s">
        <v>28</v>
      </c>
      <c r="G90" t="str">
        <f>PROPER(TRIM(B90))</f>
        <v>Amina Bello</v>
      </c>
      <c r="H90" t="str">
        <f t="shared" si="4"/>
        <v>Henry</v>
      </c>
      <c r="I90">
        <f>_xlfn.XLOOKUP(C90,Product_List!$A$2:$A$100,Product_List!$C$2:$C$100)</f>
        <v>350000</v>
      </c>
      <c r="J90" t="str">
        <f>_xlfn.XLOOKUP(C90,Product_List!$A$2:$A$100,Product_List!$D$2:$D$100)</f>
        <v>Electronics</v>
      </c>
      <c r="K90" t="e">
        <f>_xlfn.XLOOKUP(E90,Employee_Targets!$A$2:$A$100,Employee_Targets!$B$2:$B$100)</f>
        <v>#N/A</v>
      </c>
      <c r="L90" t="e">
        <f>_xlfn.XLOOKUP(E90,Employee_Targets!$A$2:$A$100,Employee_Targets!$C$2:$C$100)</f>
        <v>#N/A</v>
      </c>
      <c r="M90">
        <f t="shared" si="5"/>
        <v>1400000</v>
      </c>
      <c r="N90" t="e">
        <f t="shared" si="6"/>
        <v>#N/A</v>
      </c>
    </row>
    <row r="91" spans="1:14" x14ac:dyDescent="0.25">
      <c r="A91" t="s">
        <v>113</v>
      </c>
      <c r="B91" t="s">
        <v>27</v>
      </c>
      <c r="D91">
        <v>1</v>
      </c>
      <c r="E91" t="s">
        <v>9</v>
      </c>
      <c r="F91" t="s">
        <v>34</v>
      </c>
      <c r="G91" t="str">
        <f>PROPER(TRIM(B91))</f>
        <v>Mary Okon</v>
      </c>
      <c r="H91" t="str">
        <f t="shared" si="4"/>
        <v>Samuel</v>
      </c>
      <c r="I91">
        <f>_xlfn.XLOOKUP(C91,Product_List!$A$2:$A$100,Product_List!$C$2:$C$100)</f>
        <v>0</v>
      </c>
      <c r="J91">
        <f>_xlfn.XLOOKUP(C91,Product_List!$A$2:$A$100,Product_List!$D$2:$D$100)</f>
        <v>0</v>
      </c>
      <c r="K91" t="str">
        <f>_xlfn.XLOOKUP(E91,Employee_Targets!$A$2:$A$100,Employee_Targets!$B$2:$B$100)</f>
        <v>Retail</v>
      </c>
      <c r="L91">
        <f>_xlfn.XLOOKUP(E91,Employee_Targets!$A$2:$A$100,Employee_Targets!$C$2:$C$100)</f>
        <v>500000</v>
      </c>
      <c r="M91">
        <f t="shared" si="5"/>
        <v>0</v>
      </c>
      <c r="N91" t="str">
        <f t="shared" si="6"/>
        <v>Not Achieved</v>
      </c>
    </row>
    <row r="92" spans="1:14" x14ac:dyDescent="0.25">
      <c r="A92" t="s">
        <v>114</v>
      </c>
      <c r="B92" t="s">
        <v>140</v>
      </c>
      <c r="C92" t="s">
        <v>21</v>
      </c>
      <c r="D92">
        <v>1</v>
      </c>
      <c r="E92" t="s">
        <v>24</v>
      </c>
      <c r="F92" t="s">
        <v>143</v>
      </c>
      <c r="G92" t="str">
        <f>PROPER(TRIM(B92))</f>
        <v>Uknown Customer</v>
      </c>
      <c r="H92" t="str">
        <f t="shared" si="4"/>
        <v>Emma</v>
      </c>
      <c r="I92">
        <f>_xlfn.XLOOKUP(C92,Product_List!$A$2:$A$100,Product_List!$C$2:$C$100)</f>
        <v>45000</v>
      </c>
      <c r="J92" t="str">
        <f>_xlfn.XLOOKUP(C92,Product_List!$A$2:$A$100,Product_List!$D$2:$D$100)</f>
        <v>Electronics</v>
      </c>
      <c r="K92" t="str">
        <f>_xlfn.XLOOKUP(E92,Employee_Targets!$A$2:$A$100,Employee_Targets!$B$2:$B$100)</f>
        <v>Retail</v>
      </c>
      <c r="L92">
        <f>_xlfn.XLOOKUP(E92,Employee_Targets!$A$2:$A$100,Employee_Targets!$C$2:$C$100)</f>
        <v>200000</v>
      </c>
      <c r="M92">
        <f t="shared" si="5"/>
        <v>45000</v>
      </c>
      <c r="N92" t="str">
        <f t="shared" si="6"/>
        <v>Not Achieved</v>
      </c>
    </row>
    <row r="93" spans="1:14" x14ac:dyDescent="0.25">
      <c r="A93" t="s">
        <v>115</v>
      </c>
      <c r="B93" t="s">
        <v>11</v>
      </c>
      <c r="C93" t="s">
        <v>14</v>
      </c>
      <c r="D93">
        <v>2</v>
      </c>
      <c r="E93" t="s">
        <v>9</v>
      </c>
      <c r="F93" t="s">
        <v>34</v>
      </c>
      <c r="G93" t="str">
        <f>PROPER(TRIM(B93))</f>
        <v>Amina Bello</v>
      </c>
      <c r="H93" t="str">
        <f t="shared" si="4"/>
        <v>Samuel</v>
      </c>
      <c r="I93">
        <f>_xlfn.XLOOKUP(C93,Product_List!$A$2:$A$100,Product_List!$C$2:$C$100)</f>
        <v>90000</v>
      </c>
      <c r="J93" t="str">
        <f>_xlfn.XLOOKUP(C93,Product_List!$A$2:$A$100,Product_List!$D$2:$D$100)</f>
        <v>Electronics</v>
      </c>
      <c r="K93" t="str">
        <f>_xlfn.XLOOKUP(E93,Employee_Targets!$A$2:$A$100,Employee_Targets!$B$2:$B$100)</f>
        <v>Retail</v>
      </c>
      <c r="L93">
        <f>_xlfn.XLOOKUP(E93,Employee_Targets!$A$2:$A$100,Employee_Targets!$C$2:$C$100)</f>
        <v>500000</v>
      </c>
      <c r="M93">
        <f t="shared" si="5"/>
        <v>180000</v>
      </c>
      <c r="N93" t="str">
        <f t="shared" si="6"/>
        <v>Not Achieved</v>
      </c>
    </row>
    <row r="94" spans="1:14" x14ac:dyDescent="0.25">
      <c r="A94" t="s">
        <v>116</v>
      </c>
      <c r="B94" t="s">
        <v>27</v>
      </c>
      <c r="C94" t="s">
        <v>14</v>
      </c>
      <c r="D94" t="s">
        <v>141</v>
      </c>
      <c r="E94" t="s">
        <v>9</v>
      </c>
      <c r="F94" t="s">
        <v>28</v>
      </c>
      <c r="G94" t="str">
        <f>PROPER(TRIM(B94))</f>
        <v>Mary Okon</v>
      </c>
      <c r="H94" t="str">
        <f t="shared" si="4"/>
        <v>Samuel</v>
      </c>
      <c r="I94">
        <f>_xlfn.XLOOKUP(C94,Product_List!$A$2:$A$100,Product_List!$C$2:$C$100)</f>
        <v>90000</v>
      </c>
      <c r="J94" t="str">
        <f>_xlfn.XLOOKUP(C94,Product_List!$A$2:$A$100,Product_List!$D$2:$D$100)</f>
        <v>Electronics</v>
      </c>
      <c r="K94" t="str">
        <f>_xlfn.XLOOKUP(E94,Employee_Targets!$A$2:$A$100,Employee_Targets!$B$2:$B$100)</f>
        <v>Retail</v>
      </c>
      <c r="L94">
        <f>_xlfn.XLOOKUP(E94,Employee_Targets!$A$2:$A$100,Employee_Targets!$C$2:$C$100)</f>
        <v>500000</v>
      </c>
      <c r="M94" t="e">
        <f t="shared" si="5"/>
        <v>#VALUE!</v>
      </c>
      <c r="N94" t="e">
        <f t="shared" si="6"/>
        <v>#VALUE!</v>
      </c>
    </row>
    <row r="95" spans="1:14" x14ac:dyDescent="0.25">
      <c r="A95" t="s">
        <v>117</v>
      </c>
      <c r="B95" t="s">
        <v>42</v>
      </c>
      <c r="C95" t="s">
        <v>14</v>
      </c>
      <c r="D95">
        <v>2</v>
      </c>
      <c r="E95" t="s">
        <v>9</v>
      </c>
      <c r="F95" t="s">
        <v>143</v>
      </c>
      <c r="G95" t="str">
        <f>PROPER(TRIM(B95))</f>
        <v>Grace</v>
      </c>
      <c r="H95" t="str">
        <f t="shared" si="4"/>
        <v>Samuel</v>
      </c>
      <c r="I95">
        <f>_xlfn.XLOOKUP(C95,Product_List!$A$2:$A$100,Product_List!$C$2:$C$100)</f>
        <v>90000</v>
      </c>
      <c r="J95" t="str">
        <f>_xlfn.XLOOKUP(C95,Product_List!$A$2:$A$100,Product_List!$D$2:$D$100)</f>
        <v>Electronics</v>
      </c>
      <c r="K95" t="str">
        <f>_xlfn.XLOOKUP(E95,Employee_Targets!$A$2:$A$100,Employee_Targets!$B$2:$B$100)</f>
        <v>Retail</v>
      </c>
      <c r="L95">
        <f>_xlfn.XLOOKUP(E95,Employee_Targets!$A$2:$A$100,Employee_Targets!$C$2:$C$100)</f>
        <v>500000</v>
      </c>
      <c r="M95">
        <f t="shared" si="5"/>
        <v>180000</v>
      </c>
      <c r="N95" t="str">
        <f t="shared" si="6"/>
        <v>Not Achieved</v>
      </c>
    </row>
    <row r="96" spans="1:14" x14ac:dyDescent="0.25">
      <c r="A96" t="s">
        <v>118</v>
      </c>
      <c r="B96" t="s">
        <v>42</v>
      </c>
      <c r="C96" t="s">
        <v>14</v>
      </c>
      <c r="D96">
        <v>3</v>
      </c>
      <c r="E96" t="s">
        <v>9</v>
      </c>
      <c r="F96" t="s">
        <v>34</v>
      </c>
      <c r="G96" t="str">
        <f>PROPER(TRIM(B96))</f>
        <v>Grace</v>
      </c>
      <c r="H96" t="str">
        <f t="shared" si="4"/>
        <v>Samuel</v>
      </c>
      <c r="I96">
        <f>_xlfn.XLOOKUP(C96,Product_List!$A$2:$A$100,Product_List!$C$2:$C$100)</f>
        <v>90000</v>
      </c>
      <c r="J96" t="str">
        <f>_xlfn.XLOOKUP(C96,Product_List!$A$2:$A$100,Product_List!$D$2:$D$100)</f>
        <v>Electronics</v>
      </c>
      <c r="K96" t="str">
        <f>_xlfn.XLOOKUP(E96,Employee_Targets!$A$2:$A$100,Employee_Targets!$B$2:$B$100)</f>
        <v>Retail</v>
      </c>
      <c r="L96">
        <f>_xlfn.XLOOKUP(E96,Employee_Targets!$A$2:$A$100,Employee_Targets!$C$2:$C$100)</f>
        <v>500000</v>
      </c>
      <c r="M96">
        <f t="shared" si="5"/>
        <v>270000</v>
      </c>
      <c r="N96" t="str">
        <f t="shared" si="6"/>
        <v>Not Achieved</v>
      </c>
    </row>
    <row r="97" spans="1:14" x14ac:dyDescent="0.25">
      <c r="A97" t="s">
        <v>119</v>
      </c>
      <c r="B97" t="s">
        <v>42</v>
      </c>
      <c r="C97" t="s">
        <v>14</v>
      </c>
      <c r="D97">
        <v>4</v>
      </c>
      <c r="E97" t="s">
        <v>9</v>
      </c>
      <c r="F97" t="s">
        <v>143</v>
      </c>
      <c r="G97" t="str">
        <f>PROPER(TRIM(B97))</f>
        <v>Grace</v>
      </c>
      <c r="H97" t="str">
        <f t="shared" si="4"/>
        <v>Samuel</v>
      </c>
      <c r="I97">
        <f>_xlfn.XLOOKUP(C97,Product_List!$A$2:$A$100,Product_List!$C$2:$C$100)</f>
        <v>90000</v>
      </c>
      <c r="J97" t="str">
        <f>_xlfn.XLOOKUP(C97,Product_List!$A$2:$A$100,Product_List!$D$2:$D$100)</f>
        <v>Electronics</v>
      </c>
      <c r="K97" t="str">
        <f>_xlfn.XLOOKUP(E97,Employee_Targets!$A$2:$A$100,Employee_Targets!$B$2:$B$100)</f>
        <v>Retail</v>
      </c>
      <c r="L97">
        <f>_xlfn.XLOOKUP(E97,Employee_Targets!$A$2:$A$100,Employee_Targets!$C$2:$C$100)</f>
        <v>500000</v>
      </c>
      <c r="M97">
        <f t="shared" si="5"/>
        <v>360000</v>
      </c>
      <c r="N97" t="str">
        <f t="shared" si="6"/>
        <v>Not Achieved</v>
      </c>
    </row>
    <row r="98" spans="1:14" x14ac:dyDescent="0.25">
      <c r="A98" t="s">
        <v>120</v>
      </c>
      <c r="B98" t="s">
        <v>27</v>
      </c>
      <c r="C98" t="s">
        <v>21</v>
      </c>
      <c r="D98">
        <v>2</v>
      </c>
      <c r="E98" t="s">
        <v>9</v>
      </c>
      <c r="F98" t="s">
        <v>143</v>
      </c>
      <c r="G98" t="str">
        <f>PROPER(TRIM(B98))</f>
        <v>Mary Okon</v>
      </c>
      <c r="H98" t="str">
        <f t="shared" si="4"/>
        <v>Samuel</v>
      </c>
      <c r="I98">
        <f>_xlfn.XLOOKUP(C98,Product_List!$A$2:$A$100,Product_List!$C$2:$C$100)</f>
        <v>45000</v>
      </c>
      <c r="J98" t="str">
        <f>_xlfn.XLOOKUP(C98,Product_List!$A$2:$A$100,Product_List!$D$2:$D$100)</f>
        <v>Electronics</v>
      </c>
      <c r="K98" t="str">
        <f>_xlfn.XLOOKUP(E98,Employee_Targets!$A$2:$A$100,Employee_Targets!$B$2:$B$100)</f>
        <v>Retail</v>
      </c>
      <c r="L98">
        <f>_xlfn.XLOOKUP(E98,Employee_Targets!$A$2:$A$100,Employee_Targets!$C$2:$C$100)</f>
        <v>500000</v>
      </c>
      <c r="M98">
        <f t="shared" si="5"/>
        <v>90000</v>
      </c>
      <c r="N98" t="str">
        <f t="shared" si="6"/>
        <v>Not Achieved</v>
      </c>
    </row>
    <row r="99" spans="1:14" x14ac:dyDescent="0.25">
      <c r="A99" t="s">
        <v>121</v>
      </c>
      <c r="B99" t="s">
        <v>11</v>
      </c>
      <c r="C99" t="s">
        <v>21</v>
      </c>
      <c r="D99">
        <v>1</v>
      </c>
      <c r="E99" t="s">
        <v>24</v>
      </c>
      <c r="F99" t="s">
        <v>143</v>
      </c>
      <c r="G99" t="str">
        <f>PROPER(TRIM(B99))</f>
        <v>Amina Bello</v>
      </c>
      <c r="H99" t="str">
        <f t="shared" si="4"/>
        <v>Emma</v>
      </c>
      <c r="I99">
        <f>_xlfn.XLOOKUP(C99,Product_List!$A$2:$A$100,Product_List!$C$2:$C$100)</f>
        <v>45000</v>
      </c>
      <c r="J99" t="str">
        <f>_xlfn.XLOOKUP(C99,Product_List!$A$2:$A$100,Product_List!$D$2:$D$100)</f>
        <v>Electronics</v>
      </c>
      <c r="K99" t="str">
        <f>_xlfn.XLOOKUP(E99,Employee_Targets!$A$2:$A$100,Employee_Targets!$B$2:$B$100)</f>
        <v>Retail</v>
      </c>
      <c r="L99">
        <f>_xlfn.XLOOKUP(E99,Employee_Targets!$A$2:$A$100,Employee_Targets!$C$2:$C$100)</f>
        <v>200000</v>
      </c>
      <c r="M99">
        <f t="shared" si="5"/>
        <v>45000</v>
      </c>
      <c r="N99" t="str">
        <f t="shared" si="6"/>
        <v>Not Achieved</v>
      </c>
    </row>
    <row r="100" spans="1:14" x14ac:dyDescent="0.25">
      <c r="A100" t="s">
        <v>122</v>
      </c>
      <c r="B100" t="s">
        <v>42</v>
      </c>
      <c r="C100" t="s">
        <v>53</v>
      </c>
      <c r="D100">
        <v>4</v>
      </c>
      <c r="E100" t="s">
        <v>12</v>
      </c>
      <c r="F100" t="s">
        <v>34</v>
      </c>
      <c r="G100" t="str">
        <f>PROPER(TRIM(B100))</f>
        <v>Grace</v>
      </c>
      <c r="H100" t="str">
        <f t="shared" si="4"/>
        <v>Joy</v>
      </c>
      <c r="I100">
        <f>_xlfn.XLOOKUP(C100,Product_List!$A$2:$A$100,Product_List!$C$2:$C$100)</f>
        <v>5000</v>
      </c>
      <c r="J100" t="str">
        <f>_xlfn.XLOOKUP(C100,Product_List!$A$2:$A$100,Product_List!$D$2:$D$100)</f>
        <v>Accessories</v>
      </c>
      <c r="K100" t="str">
        <f>_xlfn.XLOOKUP(E100,Employee_Targets!$A$2:$A$100,Employee_Targets!$B$2:$B$100)</f>
        <v>Corporate</v>
      </c>
      <c r="L100">
        <f>_xlfn.XLOOKUP(E100,Employee_Targets!$A$2:$A$100,Employee_Targets!$C$2:$C$100)</f>
        <v>350000</v>
      </c>
      <c r="M100">
        <f t="shared" si="5"/>
        <v>20000</v>
      </c>
      <c r="N100" t="str">
        <f t="shared" si="6"/>
        <v>Not Achieved</v>
      </c>
    </row>
    <row r="101" spans="1:14" x14ac:dyDescent="0.25">
      <c r="A101" t="s">
        <v>123</v>
      </c>
      <c r="B101" t="s">
        <v>140</v>
      </c>
      <c r="C101" t="s">
        <v>8</v>
      </c>
      <c r="D101">
        <v>4</v>
      </c>
      <c r="E101" t="s">
        <v>9</v>
      </c>
      <c r="F101" t="s">
        <v>143</v>
      </c>
      <c r="G101" t="str">
        <f>PROPER(TRIM(B101))</f>
        <v>Uknown Customer</v>
      </c>
      <c r="H101" t="str">
        <f t="shared" si="4"/>
        <v>Samuel</v>
      </c>
      <c r="I101">
        <f>_xlfn.XLOOKUP(C101,Product_List!$A$2:$A$100,Product_List!$C$2:$C$100)</f>
        <v>15000</v>
      </c>
      <c r="J101" t="str">
        <f>_xlfn.XLOOKUP(C101,Product_List!$A$2:$A$100,Product_List!$D$2:$D$100)</f>
        <v>Accessories</v>
      </c>
      <c r="K101" t="str">
        <f>_xlfn.XLOOKUP(E101,Employee_Targets!$A$2:$A$100,Employee_Targets!$B$2:$B$100)</f>
        <v>Retail</v>
      </c>
      <c r="L101">
        <f>_xlfn.XLOOKUP(E101,Employee_Targets!$A$2:$A$100,Employee_Targets!$C$2:$C$100)</f>
        <v>500000</v>
      </c>
      <c r="M101">
        <f t="shared" si="5"/>
        <v>60000</v>
      </c>
      <c r="N101" t="str">
        <f t="shared" si="6"/>
        <v>Not Achieved</v>
      </c>
    </row>
  </sheetData>
  <conditionalFormatting sqref="B2:E101 F89">
    <cfRule type="containsBlanks" dxfId="5" priority="8">
      <formula>LEN(TRIM(B2))=0</formula>
    </cfRule>
  </conditionalFormatting>
  <conditionalFormatting sqref="M2:M101">
    <cfRule type="cellIs" dxfId="4" priority="5" operator="lessThan">
      <formula>50000</formula>
    </cfRule>
  </conditionalFormatting>
  <conditionalFormatting sqref="N2:N101">
    <cfRule type="beginsWith" dxfId="3" priority="4" operator="beginsWith" text="Achieved">
      <formula>LEFT(N2,LEN("Achieved"))="Achieved"</formula>
    </cfRule>
  </conditionalFormatting>
  <conditionalFormatting sqref="A2:A101">
    <cfRule type="expression" dxfId="2" priority="3">
      <formula>NOT(ISNUMBER(A2))</formula>
    </cfRule>
  </conditionalFormatting>
  <conditionalFormatting sqref="D2:D101">
    <cfRule type="expression" dxfId="1" priority="2">
      <formula>$D2&lt;0</formula>
    </cfRule>
  </conditionalFormatting>
  <conditionalFormatting sqref="I2:I101">
    <cfRule type="expression" priority="1">
      <formula>$J2&lt;0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2</v>
      </c>
      <c r="B1" s="1" t="s">
        <v>124</v>
      </c>
      <c r="C1" s="1" t="s">
        <v>125</v>
      </c>
      <c r="D1" s="1" t="s">
        <v>126</v>
      </c>
    </row>
    <row r="2" spans="1:4" x14ac:dyDescent="0.25">
      <c r="A2" t="s">
        <v>30</v>
      </c>
      <c r="B2" t="s">
        <v>127</v>
      </c>
      <c r="C2">
        <v>350000</v>
      </c>
      <c r="D2" t="s">
        <v>128</v>
      </c>
    </row>
    <row r="3" spans="1:4" x14ac:dyDescent="0.25">
      <c r="A3" t="s">
        <v>8</v>
      </c>
      <c r="B3" t="s">
        <v>129</v>
      </c>
      <c r="C3">
        <v>15000</v>
      </c>
      <c r="D3" t="s">
        <v>130</v>
      </c>
    </row>
    <row r="4" spans="1:4" x14ac:dyDescent="0.25">
      <c r="A4" t="s">
        <v>53</v>
      </c>
      <c r="B4" t="s">
        <v>131</v>
      </c>
      <c r="C4">
        <v>5000</v>
      </c>
      <c r="D4" t="s">
        <v>130</v>
      </c>
    </row>
    <row r="5" spans="1:4" x14ac:dyDescent="0.25">
      <c r="A5" t="s">
        <v>14</v>
      </c>
      <c r="B5" t="s">
        <v>132</v>
      </c>
      <c r="C5">
        <v>90000</v>
      </c>
      <c r="D5" t="s">
        <v>128</v>
      </c>
    </row>
    <row r="6" spans="1:4" x14ac:dyDescent="0.25">
      <c r="A6" t="s">
        <v>21</v>
      </c>
      <c r="B6" t="s">
        <v>133</v>
      </c>
      <c r="C6">
        <v>45000</v>
      </c>
      <c r="D6" t="s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134</v>
      </c>
      <c r="C1" s="1" t="s">
        <v>135</v>
      </c>
    </row>
    <row r="2" spans="1:3" x14ac:dyDescent="0.25">
      <c r="A2" t="s">
        <v>9</v>
      </c>
      <c r="B2" t="s">
        <v>136</v>
      </c>
      <c r="C2">
        <v>500000</v>
      </c>
    </row>
    <row r="3" spans="1:3" x14ac:dyDescent="0.25">
      <c r="A3" t="s">
        <v>12</v>
      </c>
      <c r="B3" t="s">
        <v>137</v>
      </c>
      <c r="C3">
        <v>350000</v>
      </c>
    </row>
    <row r="4" spans="1:3" x14ac:dyDescent="0.25">
      <c r="A4" t="s">
        <v>24</v>
      </c>
      <c r="B4" t="s">
        <v>136</v>
      </c>
      <c r="C4">
        <v>200000</v>
      </c>
    </row>
    <row r="5" spans="1:3" x14ac:dyDescent="0.25">
      <c r="A5" t="s">
        <v>138</v>
      </c>
      <c r="B5" t="s">
        <v>139</v>
      </c>
      <c r="C5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Sales_Data</vt:lpstr>
      <vt:lpstr>Product_List</vt:lpstr>
      <vt:lpstr>Employee_Targets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Orji Fedora</cp:lastModifiedBy>
  <dcterms:created xsi:type="dcterms:W3CDTF">2025-11-06T15:21:43Z</dcterms:created>
  <dcterms:modified xsi:type="dcterms:W3CDTF">2025-11-08T11:12:46Z</dcterms:modified>
</cp:coreProperties>
</file>